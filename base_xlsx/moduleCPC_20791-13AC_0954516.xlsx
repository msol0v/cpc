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10" yWindow="3810" windowWidth="21600" windowHeight="11385" tabRatio="600" firstSheet="0" activeTab="3" autoFilterDateGrouping="1"/>
  </bookViews>
  <sheets>
    <sheet name="Расшифровка" sheetId="1" state="visible" r:id="rId1"/>
    <sheet name="Исходник" sheetId="2" state="hidden" r:id="rId2"/>
    <sheet name="com" sheetId="3" state="visible" r:id="rId3"/>
    <sheet name="source" sheetId="4" state="visible" r:id="rId4"/>
    <sheet name="Fault Code" sheetId="5" state="visible" r:id="rId5"/>
    <sheet name="ASCII" sheetId="6" state="visible" r:id="rId6"/>
  </sheets>
  <definedNames>
    <definedName name="_xlnm._FilterDatabase" localSheetId="4" hidden="1">'Fault Code'!$H$8:$H$105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18">
    <font>
      <name val="Calibri"/>
      <charset val="204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color theme="1"/>
      <sz val="11"/>
      <scheme val="minor"/>
    </font>
    <font>
      <name val="Segoe UI"/>
      <charset val="204"/>
      <color rgb="FF141414"/>
      <sz val="8"/>
    </font>
    <font>
      <name val="Calibri"/>
      <charset val="204"/>
      <color theme="1"/>
      <sz val="9"/>
      <scheme val="minor"/>
    </font>
    <font>
      <name val="Calibri"/>
      <charset val="204"/>
      <color theme="1"/>
      <sz val="16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</font>
    <font>
      <name val="Arial"/>
      <charset val="204"/>
      <family val="2"/>
      <b val="1"/>
      <color rgb="FF000000"/>
      <sz val="10"/>
    </font>
    <font>
      <name val="Consolas"/>
      <charset val="204"/>
      <family val="3"/>
      <color rgb="FF000000"/>
      <sz val="10"/>
    </font>
    <font>
      <name val="Inherit"/>
      <color rgb="FF000000"/>
      <sz val="11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rgb="FFFF0000"/>
      <sz val="11"/>
      <scheme val="minor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111111"/>
      </bottom>
      <diagonal/>
    </border>
    <border>
      <left/>
      <right/>
      <top/>
      <bottom style="medium">
        <color rgb="FF11111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5" fillId="0" borderId="0"/>
    <xf numFmtId="0" fontId="4" fillId="0" borderId="0"/>
  </cellStyleXfs>
  <cellXfs count="135">
    <xf numFmtId="0" fontId="0" fillId="0" borderId="0" pivotButton="0" quotePrefix="0" xfId="0"/>
    <xf numFmtId="49" fontId="0" fillId="0" borderId="0" pivotButton="0" quotePrefix="0" xfId="0"/>
    <xf numFmtId="49" fontId="0" fillId="0" borderId="1" applyAlignment="1" pivotButton="0" quotePrefix="0" xfId="0">
      <alignment horizontal="center"/>
    </xf>
    <xf numFmtId="49" fontId="0" fillId="0" borderId="1" pivotButton="0" quotePrefix="0" xfId="0"/>
    <xf numFmtId="0" fontId="0" fillId="2" borderId="1" pivotButton="0" quotePrefix="0" xfId="0"/>
    <xf numFmtId="0" fontId="6" fillId="0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Continuous"/>
    </xf>
    <xf numFmtId="0" fontId="5" fillId="4" borderId="0" pivotButton="0" quotePrefix="0" xfId="0"/>
    <xf numFmtId="0" fontId="0" fillId="4" borderId="2" applyAlignment="1" pivotButton="0" quotePrefix="0" xfId="0">
      <alignment horizontal="center"/>
    </xf>
    <xf numFmtId="0" fontId="5" fillId="0" borderId="0" pivotButton="0" quotePrefix="0" xfId="0"/>
    <xf numFmtId="0" fontId="8" fillId="0" borderId="0" applyAlignment="1" pivotButton="0" quotePrefix="0" xfId="0">
      <alignment horizontal="centerContinuous"/>
    </xf>
    <xf numFmtId="0" fontId="0" fillId="4" borderId="0" applyAlignment="1" pivotButton="0" quotePrefix="0" xfId="0">
      <alignment horizontal="center"/>
    </xf>
    <xf numFmtId="0" fontId="0" fillId="0" borderId="0" pivotButton="0" quotePrefix="1" xfId="0"/>
    <xf numFmtId="0" fontId="0" fillId="0" borderId="1" pivotButton="0" quotePrefix="0" xfId="0"/>
    <xf numFmtId="0" fontId="9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1" applyAlignment="1" pivotButton="0" quotePrefix="1" xfId="0">
      <alignment horizontal="center" vertical="center"/>
    </xf>
    <xf numFmtId="49" fontId="0" fillId="0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shrinkToFit="1"/>
    </xf>
    <xf numFmtId="0" fontId="0" fillId="2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shrinkToFit="1"/>
    </xf>
    <xf numFmtId="0" fontId="10" fillId="0" borderId="1" applyAlignment="1" pivotButton="0" quotePrefix="0" xfId="0">
      <alignment horizontal="left" vertical="center" shrinkToFit="1"/>
    </xf>
    <xf numFmtId="0" fontId="10" fillId="0" borderId="1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9" borderId="5" applyAlignment="1" pivotButton="0" quotePrefix="0" xfId="0">
      <alignment horizontal="center" vertical="center"/>
    </xf>
    <xf numFmtId="0" fontId="0" fillId="9" borderId="3" applyAlignment="1" pivotButton="0" quotePrefix="0" xfId="0">
      <alignment horizontal="center" vertical="center"/>
    </xf>
    <xf numFmtId="0" fontId="0" fillId="9" borderId="4" applyAlignment="1" pivotButton="0" quotePrefix="0" xfId="0">
      <alignment horizontal="center" vertical="center"/>
    </xf>
    <xf numFmtId="0" fontId="0" fillId="10" borderId="5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0" fillId="10" borderId="4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5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13" fillId="11" borderId="6" applyAlignment="1" pivotButton="0" quotePrefix="0" xfId="0">
      <alignment horizontal="center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11" borderId="8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0" fontId="13" fillId="11" borderId="10" applyAlignment="1" pivotButton="0" quotePrefix="0" xfId="0">
      <alignment horizontal="center" vertical="center" wrapText="1"/>
    </xf>
    <xf numFmtId="0" fontId="14" fillId="11" borderId="10" applyAlignment="1" pivotButton="0" quotePrefix="0" xfId="0">
      <alignment horizontal="center" vertical="center" wrapText="1"/>
    </xf>
    <xf numFmtId="0" fontId="13" fillId="11" borderId="11" applyAlignment="1" pivotButton="0" quotePrefix="0" xfId="0">
      <alignment horizontal="center" vertical="center" wrapText="1"/>
    </xf>
    <xf numFmtId="0" fontId="13" fillId="11" borderId="12" applyAlignment="1" pivotButton="0" quotePrefix="0" xfId="0">
      <alignment horizontal="center" vertical="center" wrapText="1"/>
    </xf>
    <xf numFmtId="0" fontId="13" fillId="11" borderId="13" applyAlignment="1" pivotButton="0" quotePrefix="0" xfId="0">
      <alignment horizontal="center" vertical="center" wrapText="1"/>
    </xf>
    <xf numFmtId="0" fontId="0" fillId="11" borderId="14" pivotButton="0" quotePrefix="0" xfId="0"/>
    <xf numFmtId="0" fontId="3" fillId="0" borderId="0" applyAlignment="1" pivotButton="0" quotePrefix="0" xfId="0">
      <alignment horizontal="center"/>
    </xf>
    <xf numFmtId="0" fontId="10" fillId="0" borderId="15" pivotButton="0" quotePrefix="0" xfId="0"/>
    <xf numFmtId="0" fontId="3" fillId="0" borderId="16" pivotButton="0" quotePrefix="0" xfId="0"/>
    <xf numFmtId="0" fontId="10" fillId="0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10" fillId="0" borderId="16" applyAlignment="1" pivotButton="0" quotePrefix="0" xfId="0">
      <alignment horizontal="left"/>
    </xf>
    <xf numFmtId="2" fontId="10" fillId="0" borderId="16" applyAlignment="1" pivotButton="0" quotePrefix="0" xfId="0">
      <alignment horizontal="center"/>
    </xf>
    <xf numFmtId="164" fontId="3" fillId="0" borderId="16" applyAlignment="1" pivotButton="0" quotePrefix="0" xfId="0">
      <alignment horizontal="center"/>
    </xf>
    <xf numFmtId="0" fontId="10" fillId="0" borderId="16" pivotButton="0" quotePrefix="0" xfId="0"/>
    <xf numFmtId="0" fontId="0" fillId="0" borderId="17" applyAlignment="1" pivotButton="0" quotePrefix="0" xfId="0">
      <alignment horizontal="center"/>
    </xf>
    <xf numFmtId="0" fontId="10" fillId="0" borderId="18" pivotButton="0" quotePrefix="0" xfId="0"/>
    <xf numFmtId="0" fontId="3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165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9" fillId="0" borderId="18" pivotButton="0" quotePrefix="0" xfId="0"/>
    <xf numFmtId="0" fontId="9" fillId="0" borderId="20" pivotButton="0" quotePrefix="0" xfId="0"/>
    <xf numFmtId="0" fontId="0" fillId="0" borderId="21" pivotButton="0" quotePrefix="0" xfId="0"/>
    <xf numFmtId="0" fontId="9" fillId="0" borderId="2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10" fillId="0" borderId="21" pivotButton="0" quotePrefix="0" xfId="0"/>
    <xf numFmtId="1" fontId="10" fillId="0" borderId="21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5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7" fillId="0" borderId="25" applyAlignment="1" pivotButton="0" quotePrefix="0" xfId="0">
      <alignment horizontal="center"/>
    </xf>
    <xf numFmtId="49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0" pivotButton="0" quotePrefix="0" xfId="0"/>
    <xf numFmtId="0" fontId="3" fillId="0" borderId="0" pivotButton="0" quotePrefix="0" xfId="1"/>
    <xf numFmtId="0" fontId="3" fillId="4" borderId="0" pivotButton="0" quotePrefix="0" xfId="1"/>
    <xf numFmtId="0" fontId="10" fillId="0" borderId="18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3" fillId="0" borderId="0" applyAlignment="1" pivotButton="0" quotePrefix="0" xfId="1">
      <alignment vertical="top" wrapText="1"/>
    </xf>
    <xf numFmtId="2" fontId="0" fillId="0" borderId="16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" fontId="1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16" applyAlignment="1" pivotButton="0" quotePrefix="0" xfId="0">
      <alignment horizontal="center" vertical="center"/>
    </xf>
    <xf numFmtId="0" fontId="10" fillId="0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0" fillId="0" borderId="18" applyAlignment="1" pivotButton="0" quotePrefix="0" xfId="0">
      <alignment vertical="center"/>
    </xf>
    <xf numFmtId="0" fontId="0" fillId="0" borderId="18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2" fontId="16" fillId="0" borderId="16" applyAlignment="1" pivotButton="0" quotePrefix="0" xfId="0">
      <alignment horizontal="center" vertical="center"/>
    </xf>
    <xf numFmtId="0" fontId="17" fillId="0" borderId="28" applyAlignment="1" pivotButton="0" quotePrefix="0" xfId="0">
      <alignment horizontal="center" vertical="top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P152"/>
  <sheetViews>
    <sheetView topLeftCell="H1" zoomScaleNormal="100" workbookViewId="0">
      <selection activeCell="L6" sqref="L6"/>
    </sheetView>
  </sheetViews>
  <sheetFormatPr baseColWidth="8" defaultColWidth="9" defaultRowHeight="15"/>
  <cols>
    <col width="3.140625" customWidth="1" min="1" max="2"/>
    <col width="28.140625" customWidth="1" min="3" max="3"/>
    <col width="3.28515625" customWidth="1" min="4" max="4"/>
    <col width="3.42578125" customWidth="1" min="5" max="5"/>
    <col width="12.7109375" customWidth="1" style="8" min="6" max="21"/>
    <col width="16.7109375" customWidth="1" style="8" min="22" max="22"/>
    <col width="15.42578125" customWidth="1" style="8" min="23" max="23"/>
    <col width="12.7109375" customWidth="1" style="8" min="24" max="37"/>
  </cols>
  <sheetData>
    <row r="1" ht="15.75" customHeight="1">
      <c r="C1" s="102" t="inlineStr">
        <is>
          <t>NVM CONTENT</t>
        </is>
      </c>
      <c r="O1" s="74" t="n"/>
      <c r="U1" s="122" t="inlineStr">
        <is>
          <t>NVM LONG TIME DRIFT</t>
        </is>
      </c>
    </row>
    <row r="2" ht="18.75" customHeight="1">
      <c r="C2" s="75" t="inlineStr">
        <is>
          <t>SN</t>
        </is>
      </c>
      <c r="D2" s="76" t="n"/>
      <c r="E2" s="76" t="n"/>
      <c r="F2" s="77">
        <f>CONCATENATE(RIGHT(com!A1313,1),RIGHT(com!A1314,1),RIGHT(com!A1315,1),RIGHT(com!A1316,1),RIGHT(com!A1317,1),RIGHT(com!A1318,1),RIGHT(com!A1319,1))</f>
        <v/>
      </c>
      <c r="G2" s="78" t="n"/>
      <c r="H2" s="78" t="n"/>
      <c r="I2" s="79" t="inlineStr">
        <is>
          <t>PC</t>
        </is>
      </c>
      <c r="J2" s="78" t="n"/>
      <c r="K2" s="78" t="n"/>
      <c r="L2" s="80">
        <f>(HEX2DEC(RIGHT(com!A1337,2)&amp;LEFT(com!A1337,2))/1024)/0.0145</f>
        <v/>
      </c>
      <c r="M2" s="81" t="inlineStr">
        <is>
          <t>hPA</t>
        </is>
      </c>
      <c r="N2" s="78" t="n"/>
      <c r="O2" s="78" t="n"/>
      <c r="P2" s="82" t="inlineStr">
        <is>
          <t>delta</t>
        </is>
      </c>
      <c r="Q2" s="119">
        <f>1020-L2+L4</f>
        <v/>
      </c>
      <c r="R2" s="78" t="n"/>
      <c r="S2" s="83" t="n"/>
      <c r="U2" s="124" t="inlineStr">
        <is>
          <t>Использовать delta</t>
        </is>
      </c>
      <c r="V2" s="125" t="n"/>
      <c r="W2" s="125" t="inlineStr">
        <is>
          <t>Да</t>
        </is>
      </c>
      <c r="X2" s="123" t="inlineStr">
        <is>
          <t>иначе</t>
        </is>
      </c>
      <c r="Y2" s="126" t="n">
        <v>-30</v>
      </c>
      <c r="Z2" s="133">
        <f>IF(W2="Да",Q2,Y2)</f>
        <v/>
      </c>
      <c r="AA2" s="126" t="inlineStr">
        <is>
          <t>hPA</t>
        </is>
      </c>
      <c r="AB2" s="78" t="n"/>
      <c r="AC2" s="78" t="n"/>
      <c r="AD2" s="78" t="n"/>
      <c r="AE2" s="83" t="n"/>
    </row>
    <row r="3" ht="15.75" customHeight="1">
      <c r="C3" s="84" t="inlineStr">
        <is>
          <t>HW PN</t>
        </is>
      </c>
      <c r="D3" s="85" t="n"/>
      <c r="E3" s="85" t="n"/>
      <c r="F3" s="86">
        <f>CONCATENATE(RIGHT(com!A1320,1),RIGHT(com!A1321,1),RIGHT(com!A1322,1),RIGHT(com!A1323,1),"-",RIGHT(com!A1325,1),RIGHT(com!A1326,1),RIGHT(com!A1327,1),RIGHT(com!A1328,1),RIGHT(com!A1329,1),"-",RIGHT(com!A1331,1),RIGHT(com!A1332,1))</f>
        <v/>
      </c>
      <c r="I3" s="87" t="inlineStr">
        <is>
          <t>ALT_CAB_RATO</t>
        </is>
      </c>
      <c r="L3" s="88">
        <f>(HEX2DEC(RIGHT(com!A1338,2)&amp;LEFT(com!A1338,2))/4)</f>
        <v/>
      </c>
      <c r="M3" s="74" t="inlineStr">
        <is>
          <t>SLFPM</t>
        </is>
      </c>
      <c r="P3" s="89" t="inlineStr">
        <is>
          <t>Контроль</t>
        </is>
      </c>
      <c r="Q3" s="120">
        <f>IF(OR(ABS(L6)&gt;12,ABS(Q2) &gt;12),"ЗАМЕНИТЕ ДАТЧИК","ДАТЧИК ИСПРАВЕН")</f>
        <v/>
      </c>
      <c r="S3" s="91" t="n"/>
      <c r="U3" s="127" t="inlineStr">
        <is>
          <t>PC_OFFSET_NVM</t>
        </is>
      </c>
      <c r="V3" s="29" t="n"/>
      <c r="W3" s="29">
        <f>IF(ROUND($Z$2*0.0145*2048,0)&gt;=0,TEXT(DEC2HEX(ROUND($Z$2*0.0145*2048,0),4),"0000"),DEC2HEX(ROUND($Z$2*0.0145*2048,0)+65535))</f>
        <v/>
      </c>
      <c r="X3" s="128">
        <f>"N00A1"&amp;RIGHT(W3,2)&amp;LEFT(W3,2)</f>
        <v/>
      </c>
      <c r="Y3" s="29" t="n"/>
      <c r="Z3" s="29" t="n"/>
      <c r="AA3" s="29" t="n"/>
      <c r="AE3" s="91" t="n"/>
    </row>
    <row r="4" ht="15.75" customHeight="1">
      <c r="C4" s="84" t="inlineStr">
        <is>
          <t>SW PN</t>
        </is>
      </c>
      <c r="D4" s="85" t="n"/>
      <c r="E4" s="85" t="n"/>
      <c r="F4" s="86">
        <f>VLOOKUP(com!A1335,ASCII!C:E,3,0)&amp;VLOOKUP(com!A1336,ASCII!C:E,3,0)</f>
        <v/>
      </c>
      <c r="I4" s="89" t="inlineStr">
        <is>
          <t>PC_OFFSET_NVM</t>
        </is>
      </c>
      <c r="L4" s="88">
        <f>IF(HEX2DEC(RIGHT(com!A1339,2)&amp;LEFT(com!A1339,2))&lt;=4095,(HEX2DEC(RIGHT(com!A1339,2)&amp;LEFT(com!A1339,2))/2048)/0.0145,((65535-HEX2DEC(RIGHT(com!A1339,2)&amp;LEFT(com!A1339,2)))/2048)/-0.0145)</f>
        <v/>
      </c>
      <c r="M4" s="92" t="inlineStr">
        <is>
          <t>hPA</t>
        </is>
      </c>
      <c r="O4" s="74" t="n"/>
      <c r="P4" s="90" t="n"/>
      <c r="S4" s="91" t="n"/>
      <c r="U4" s="129" t="inlineStr">
        <is>
          <t>PC_OFFSET_NVM_CHECKSUM</t>
        </is>
      </c>
      <c r="V4" s="29" t="n"/>
      <c r="W4" s="29">
        <f>IF(ROUND($Z$2*0.0145*2048,0)&gt;=0,DEC2HEX(ROUND($Z$2*-0.0145*2048,0)+65535),TEXT(DEC2HEX(ROUND($Z$2*-0.0145*2048,0),4),"0000"))</f>
        <v/>
      </c>
      <c r="X4" s="128">
        <f>"N02A1"&amp;RIGHT(W4,2)&amp;LEFT(W4,2)</f>
        <v/>
      </c>
      <c r="Y4" s="29" t="n"/>
      <c r="Z4" s="29" t="n"/>
      <c r="AA4" s="29" t="n"/>
      <c r="AE4" s="91" t="n"/>
    </row>
    <row r="5" ht="15.75" customHeight="1">
      <c r="C5" s="84" t="inlineStr">
        <is>
          <t>SW VERSION</t>
        </is>
      </c>
      <c r="D5" s="85" t="n"/>
      <c r="E5" s="85" t="n"/>
      <c r="F5" s="86">
        <f>CONCATENATE(RIGHT(com!A1334,1),RIGHT(com!A1333,1))</f>
        <v/>
      </c>
      <c r="I5" s="87" t="inlineStr">
        <is>
          <t>PC_OFFSET_NVM_CHECKSUM</t>
        </is>
      </c>
      <c r="L5" s="88">
        <f>IF(HEX2DEC(RIGHT(com!A1340,2)&amp;LEFT(com!A1340,2))&lt;=4095,(HEX2DEC(RIGHT(com!A1340,2)&amp;LEFT(com!A1340,2))/2048)/0.0145,((65535-HEX2DEC(RIGHT(com!A1340,2)&amp;LEFT(com!A1340,2)))/2048)/-0.0145)</f>
        <v/>
      </c>
      <c r="M5" s="92" t="inlineStr">
        <is>
          <t>hPA</t>
        </is>
      </c>
      <c r="S5" s="91" t="n"/>
      <c r="U5" s="129" t="inlineStr">
        <is>
          <t>PC_CHECK_OFFST</t>
        </is>
      </c>
      <c r="V5" s="29" t="n"/>
      <c r="W5" s="29">
        <f>IF(ROUND($Z$2*0.0145*2048,0)&gt;=0,TEXT(DEC2HEX(ROUND($Z$2*0.0145*2048,0)),"0000"),DEC2HEX(ROUND($Z$2*0.0145*2048,0)+65535))</f>
        <v/>
      </c>
      <c r="X5" s="128">
        <f>"N04A1"&amp;RIGHT(W5,2)&amp;LEFT(W5,2)</f>
        <v/>
      </c>
      <c r="Y5" s="29" t="n"/>
      <c r="Z5" s="29" t="n"/>
      <c r="AA5" s="29" t="n"/>
      <c r="AE5" s="91" t="n"/>
    </row>
    <row r="6" ht="15.75" customHeight="1">
      <c r="C6" s="84" t="n"/>
      <c r="D6" s="85" t="n"/>
      <c r="E6" s="85" t="n"/>
      <c r="F6" s="86" t="n"/>
      <c r="I6" s="87" t="inlineStr">
        <is>
          <t>PC_CHECK_OFFST</t>
        </is>
      </c>
      <c r="L6" s="88">
        <f>IF(HEX2DEC(RIGHT(com!A1341,2)&amp;LEFT(com!A1341,2))&lt;=32768,(HEX2DEC(RIGHT(com!A1341,2)&amp;LEFT(com!A1341,2))/2048)/0.0145,((65535-HEX2DEC(RIGHT(com!A1341,2)&amp;LEFT(com!A1341,2)))/2048)/-0.0145)</f>
        <v/>
      </c>
      <c r="M6" s="92" t="inlineStr">
        <is>
          <t>hPA</t>
        </is>
      </c>
      <c r="S6" s="91" t="n"/>
      <c r="U6" s="129" t="inlineStr">
        <is>
          <t>DRIFT_COMP_CNT</t>
        </is>
      </c>
      <c r="V6" s="29" t="n"/>
      <c r="W6" s="29" t="n">
        <v>0</v>
      </c>
      <c r="X6" s="128" t="inlineStr">
        <is>
          <t>N06A10000</t>
        </is>
      </c>
      <c r="Y6" s="29" t="n"/>
      <c r="Z6" s="29" t="n"/>
      <c r="AA6" s="29" t="n"/>
      <c r="AE6" s="91" t="n"/>
    </row>
    <row r="7" ht="15.75" customHeight="1">
      <c r="C7" s="93" t="n"/>
      <c r="F7" s="20" t="n"/>
      <c r="I7" s="87" t="inlineStr">
        <is>
          <t>DRIFT_COMP_CNT</t>
        </is>
      </c>
      <c r="L7" s="121">
        <f>HEX2DEC(RIGHT(com!A1343,2)&amp;LEFT(com!A1343,2)&amp;RIGHT(com!A1342,2)&amp;LEFT(com!A1342,2))</f>
        <v/>
      </c>
      <c r="M7" s="74" t="inlineStr">
        <is>
          <t>counter</t>
        </is>
      </c>
      <c r="S7" s="91" t="n"/>
      <c r="U7" s="130" t="n"/>
      <c r="V7" s="29" t="n"/>
      <c r="W7" s="29" t="n"/>
      <c r="X7" s="128" t="inlineStr">
        <is>
          <t>N08A10000</t>
        </is>
      </c>
      <c r="Y7" s="29" t="n"/>
      <c r="Z7" s="29" t="n"/>
      <c r="AA7" s="29" t="n"/>
      <c r="AE7" s="91" t="n"/>
      <c r="AO7" t="inlineStr">
        <is>
          <t xml:space="preserve">Выбор </t>
        </is>
      </c>
    </row>
    <row r="8" ht="15.75" customHeight="1">
      <c r="C8" s="94" t="n"/>
      <c r="D8" s="95" t="n"/>
      <c r="E8" s="95" t="n"/>
      <c r="F8" s="96" t="n"/>
      <c r="G8" s="97" t="n"/>
      <c r="H8" s="97" t="n"/>
      <c r="I8" s="98" t="inlineStr">
        <is>
          <t>PC_OFFSET_FAIL_CNT</t>
        </is>
      </c>
      <c r="J8" s="97" t="n"/>
      <c r="K8" s="97" t="n"/>
      <c r="L8" s="99">
        <f>(HEX2DEC(com!A1344))</f>
        <v/>
      </c>
      <c r="M8" s="100" t="inlineStr">
        <is>
          <t>counter</t>
        </is>
      </c>
      <c r="N8" s="97" t="n"/>
      <c r="O8" s="97" t="n"/>
      <c r="P8" s="97" t="n"/>
      <c r="Q8" s="97" t="n"/>
      <c r="R8" s="97" t="n"/>
      <c r="S8" s="101" t="n"/>
      <c r="U8" s="131" t="n"/>
      <c r="V8" s="132" t="n"/>
      <c r="W8" s="132" t="n"/>
      <c r="X8" s="132" t="n"/>
      <c r="Y8" s="132" t="n"/>
      <c r="Z8" s="132" t="n"/>
      <c r="AA8" s="132" t="n"/>
      <c r="AB8" s="97" t="n"/>
      <c r="AC8" s="97" t="n"/>
      <c r="AD8" s="97" t="n"/>
      <c r="AE8" s="101" t="n"/>
      <c r="AP8" t="inlineStr">
        <is>
          <t>Да</t>
        </is>
      </c>
    </row>
    <row r="9" ht="15.75" customHeight="1">
      <c r="C9" s="102" t="inlineStr">
        <is>
          <t>NVM BITE CONTENT</t>
        </is>
      </c>
      <c r="F9" s="20" t="n"/>
      <c r="AP9" t="inlineStr">
        <is>
          <t>Нет</t>
        </is>
      </c>
    </row>
    <row r="10">
      <c r="C10" s="103" t="n"/>
      <c r="D10" s="104" t="n"/>
      <c r="E10" s="104" t="n"/>
      <c r="F10" s="105">
        <f>Исходник!E4</f>
        <v/>
      </c>
      <c r="G10" s="105">
        <f>Исходник!F4</f>
        <v/>
      </c>
      <c r="H10" s="105">
        <f>Исходник!G4</f>
        <v/>
      </c>
      <c r="I10" s="105">
        <f>Исходник!H4</f>
        <v/>
      </c>
      <c r="J10" s="105">
        <f>Исходник!I4</f>
        <v/>
      </c>
      <c r="K10" s="105">
        <f>Исходник!J4</f>
        <v/>
      </c>
      <c r="L10" s="105">
        <f>Исходник!K4</f>
        <v/>
      </c>
      <c r="M10" s="105">
        <f>Исходник!L4</f>
        <v/>
      </c>
      <c r="N10" s="105">
        <f>Исходник!M4</f>
        <v/>
      </c>
      <c r="O10" s="105">
        <f>Исходник!N4</f>
        <v/>
      </c>
      <c r="P10" s="105">
        <f>Исходник!O4</f>
        <v/>
      </c>
      <c r="Q10" s="105">
        <f>Исходник!P4</f>
        <v/>
      </c>
      <c r="R10" s="105">
        <f>Исходник!Q4</f>
        <v/>
      </c>
      <c r="S10" s="105">
        <f>Исходник!R4</f>
        <v/>
      </c>
      <c r="T10" s="105">
        <f>Исходник!S4</f>
        <v/>
      </c>
      <c r="U10" s="105">
        <f>Исходник!T4</f>
        <v/>
      </c>
      <c r="V10" s="105">
        <f>Исходник!U4</f>
        <v/>
      </c>
      <c r="W10" s="105">
        <f>Исходник!V4</f>
        <v/>
      </c>
      <c r="X10" s="105">
        <f>Исходник!W4</f>
        <v/>
      </c>
      <c r="Y10" s="105">
        <f>Исходник!X4</f>
        <v/>
      </c>
      <c r="Z10" s="105">
        <f>Исходник!Y4</f>
        <v/>
      </c>
      <c r="AA10" s="105">
        <f>Исходник!Z4</f>
        <v/>
      </c>
      <c r="AB10" s="105">
        <f>Исходник!AA4</f>
        <v/>
      </c>
      <c r="AC10" s="105">
        <f>Исходник!AB4</f>
        <v/>
      </c>
      <c r="AD10" s="105">
        <f>Исходник!AC4</f>
        <v/>
      </c>
      <c r="AE10" s="105">
        <f>Исходник!AD4</f>
        <v/>
      </c>
      <c r="AF10" s="105">
        <f>Исходник!AE4</f>
        <v/>
      </c>
      <c r="AG10" s="105">
        <f>Исходник!AF4</f>
        <v/>
      </c>
      <c r="AH10" s="105">
        <f>Исходник!AG4</f>
        <v/>
      </c>
      <c r="AI10" s="105">
        <f>Исходник!AH4</f>
        <v/>
      </c>
      <c r="AJ10" s="105">
        <f>Исходник!AI4</f>
        <v/>
      </c>
      <c r="AK10" s="106">
        <f>Исходник!AJ4</f>
        <v/>
      </c>
    </row>
    <row r="11">
      <c r="C11" s="84">
        <f>Исходник!B5</f>
        <v/>
      </c>
      <c r="F11" s="9">
        <f>HEX2DEC(RIGHT(Исходник!E5,2))</f>
        <v/>
      </c>
      <c r="G11" s="9">
        <f>HEX2DEC(RIGHT(Исходник!F5,2))</f>
        <v/>
      </c>
      <c r="H11" s="9">
        <f>HEX2DEC(RIGHT(Исходник!G5,2))</f>
        <v/>
      </c>
      <c r="I11" s="9">
        <f>HEX2DEC(RIGHT(Исходник!H5,2))</f>
        <v/>
      </c>
      <c r="J11" s="9">
        <f>HEX2DEC(RIGHT(Исходник!I5,2))</f>
        <v/>
      </c>
      <c r="K11" s="9">
        <f>HEX2DEC(RIGHT(Исходник!J5,2))</f>
        <v/>
      </c>
      <c r="L11" s="9">
        <f>HEX2DEC(RIGHT(Исходник!K5,2))</f>
        <v/>
      </c>
      <c r="M11" s="9">
        <f>HEX2DEC(RIGHT(Исходник!L5,2))</f>
        <v/>
      </c>
      <c r="N11" s="9">
        <f>HEX2DEC(RIGHT(Исходник!M5,2))</f>
        <v/>
      </c>
      <c r="O11" s="9">
        <f>HEX2DEC(RIGHT(Исходник!N5,2))</f>
        <v/>
      </c>
      <c r="P11" s="9">
        <f>HEX2DEC(RIGHT(Исходник!O5,2))</f>
        <v/>
      </c>
      <c r="Q11" s="9">
        <f>HEX2DEC(RIGHT(Исходник!P5,2))</f>
        <v/>
      </c>
      <c r="R11" s="9">
        <f>HEX2DEC(RIGHT(Исходник!Q5,2))</f>
        <v/>
      </c>
      <c r="S11" s="9">
        <f>HEX2DEC(RIGHT(Исходник!R5,2))</f>
        <v/>
      </c>
      <c r="T11" s="9">
        <f>HEX2DEC(RIGHT(Исходник!S5,2))</f>
        <v/>
      </c>
      <c r="U11" s="9">
        <f>HEX2DEC(RIGHT(Исходник!T5,2))</f>
        <v/>
      </c>
      <c r="V11" s="9">
        <f>HEX2DEC(RIGHT(Исходник!U5,2))</f>
        <v/>
      </c>
      <c r="W11" s="9">
        <f>HEX2DEC(RIGHT(Исходник!V5,2))</f>
        <v/>
      </c>
      <c r="X11" s="9">
        <f>HEX2DEC(RIGHT(Исходник!W5,2))</f>
        <v/>
      </c>
      <c r="Y11" s="9">
        <f>HEX2DEC(RIGHT(Исходник!X5,2))</f>
        <v/>
      </c>
      <c r="Z11" s="9">
        <f>HEX2DEC(RIGHT(Исходник!Y5,2))</f>
        <v/>
      </c>
      <c r="AA11" s="9">
        <f>HEX2DEC(RIGHT(Исходник!Z5,2))</f>
        <v/>
      </c>
      <c r="AB11" s="9">
        <f>HEX2DEC(RIGHT(Исходник!AA5,2))</f>
        <v/>
      </c>
      <c r="AC11" s="9">
        <f>HEX2DEC(RIGHT(Исходник!AB5,2))</f>
        <v/>
      </c>
      <c r="AD11" s="9">
        <f>HEX2DEC(RIGHT(Исходник!AC5,2))</f>
        <v/>
      </c>
      <c r="AE11" s="9">
        <f>HEX2DEC(RIGHT(Исходник!AD5,2))</f>
        <v/>
      </c>
      <c r="AF11" s="9">
        <f>HEX2DEC(RIGHT(Исходник!AE5,2))</f>
        <v/>
      </c>
      <c r="AG11" s="9">
        <f>HEX2DEC(RIGHT(Исходник!AF5,2))</f>
        <v/>
      </c>
      <c r="AH11" s="9">
        <f>HEX2DEC(RIGHT(Исходник!AG5,2))</f>
        <v/>
      </c>
      <c r="AI11" s="9">
        <f>HEX2DEC(RIGHT(Исходник!AH5,2))</f>
        <v/>
      </c>
      <c r="AJ11" s="9">
        <f>HEX2DEC(RIGHT(Исходник!AI5,2))</f>
        <v/>
      </c>
      <c r="AK11" s="107">
        <f>HEX2DEC(RIGHT(Исходник!AJ5,2))</f>
        <v/>
      </c>
      <c r="AO11" s="15" t="inlineStr">
        <is>
          <t>FLIGHT MODE</t>
        </is>
      </c>
    </row>
    <row r="12">
      <c r="C12" s="84">
        <f>Исходник!B6</f>
        <v/>
      </c>
      <c r="F12" s="9">
        <f>HEX2DEC(RIGHT(Исходник!E6,2))</f>
        <v/>
      </c>
      <c r="G12" s="9">
        <f>HEX2DEC(RIGHT(Исходник!F6,2))</f>
        <v/>
      </c>
      <c r="H12" s="9">
        <f>HEX2DEC(RIGHT(Исходник!G6,2))</f>
        <v/>
      </c>
      <c r="I12" s="9">
        <f>HEX2DEC(RIGHT(Исходник!H6,2))</f>
        <v/>
      </c>
      <c r="J12" s="9">
        <f>HEX2DEC(RIGHT(Исходник!I6,2))</f>
        <v/>
      </c>
      <c r="K12" s="9">
        <f>HEX2DEC(RIGHT(Исходник!J6,2))</f>
        <v/>
      </c>
      <c r="L12" s="9">
        <f>HEX2DEC(RIGHT(Исходник!K6,2))</f>
        <v/>
      </c>
      <c r="M12" s="9">
        <f>HEX2DEC(RIGHT(Исходник!L6,2))</f>
        <v/>
      </c>
      <c r="N12" s="9">
        <f>HEX2DEC(RIGHT(Исходник!M6,2))</f>
        <v/>
      </c>
      <c r="O12" s="9">
        <f>HEX2DEC(RIGHT(Исходник!N6,2))</f>
        <v/>
      </c>
      <c r="P12" s="9">
        <f>HEX2DEC(RIGHT(Исходник!O6,2))</f>
        <v/>
      </c>
      <c r="Q12" s="9">
        <f>HEX2DEC(RIGHT(Исходник!P6,2))</f>
        <v/>
      </c>
      <c r="R12" s="9">
        <f>HEX2DEC(RIGHT(Исходник!Q6,2))</f>
        <v/>
      </c>
      <c r="S12" s="9">
        <f>HEX2DEC(RIGHT(Исходник!R6,2))</f>
        <v/>
      </c>
      <c r="T12" s="9">
        <f>HEX2DEC(RIGHT(Исходник!S6,2))</f>
        <v/>
      </c>
      <c r="U12" s="9">
        <f>HEX2DEC(RIGHT(Исходник!T6,2))</f>
        <v/>
      </c>
      <c r="V12" s="9">
        <f>HEX2DEC(RIGHT(Исходник!U6,2))</f>
        <v/>
      </c>
      <c r="W12" s="9">
        <f>HEX2DEC(RIGHT(Исходник!V6,2))</f>
        <v/>
      </c>
      <c r="X12" s="9">
        <f>HEX2DEC(RIGHT(Исходник!W6,2))</f>
        <v/>
      </c>
      <c r="Y12" s="9">
        <f>HEX2DEC(RIGHT(Исходник!X6,2))</f>
        <v/>
      </c>
      <c r="Z12" s="9">
        <f>HEX2DEC(RIGHT(Исходник!Y6,2))</f>
        <v/>
      </c>
      <c r="AA12" s="9">
        <f>HEX2DEC(RIGHT(Исходник!Z6,2))</f>
        <v/>
      </c>
      <c r="AB12" s="9">
        <f>HEX2DEC(RIGHT(Исходник!AA6,2))</f>
        <v/>
      </c>
      <c r="AC12" s="9">
        <f>HEX2DEC(RIGHT(Исходник!AB6,2))</f>
        <v/>
      </c>
      <c r="AD12" s="9">
        <f>HEX2DEC(RIGHT(Исходник!AC6,2))</f>
        <v/>
      </c>
      <c r="AE12" s="9">
        <f>HEX2DEC(RIGHT(Исходник!AD6,2))</f>
        <v/>
      </c>
      <c r="AF12" s="9">
        <f>HEX2DEC(RIGHT(Исходник!AE6,2))</f>
        <v/>
      </c>
      <c r="AG12" s="9">
        <f>HEX2DEC(RIGHT(Исходник!AF6,2))</f>
        <v/>
      </c>
      <c r="AH12" s="9">
        <f>HEX2DEC(RIGHT(Исходник!AG6,2))</f>
        <v/>
      </c>
      <c r="AI12" s="9">
        <f>HEX2DEC(RIGHT(Исходник!AH6,2))</f>
        <v/>
      </c>
      <c r="AJ12" s="9">
        <f>HEX2DEC(RIGHT(Исходник!AI6,2))</f>
        <v/>
      </c>
      <c r="AK12" s="107">
        <f>HEX2DEC(RIGHT(Исходник!AJ6,2))</f>
        <v/>
      </c>
      <c r="AO12" t="n">
        <v>0</v>
      </c>
      <c r="AP12" s="15" t="inlineStr">
        <is>
          <t>GROUND</t>
        </is>
      </c>
    </row>
    <row r="13">
      <c r="C13" s="84">
        <f>Исходник!B7</f>
        <v/>
      </c>
      <c r="F13" s="9">
        <f>HEX2DEC(RIGHT(Исходник!E7,2))</f>
        <v/>
      </c>
      <c r="G13" s="9">
        <f>HEX2DEC(RIGHT(Исходник!F7,2))</f>
        <v/>
      </c>
      <c r="H13" s="9">
        <f>HEX2DEC(RIGHT(Исходник!G7,2))</f>
        <v/>
      </c>
      <c r="I13" s="9">
        <f>HEX2DEC(RIGHT(Исходник!H7,2))</f>
        <v/>
      </c>
      <c r="J13" s="9">
        <f>HEX2DEC(RIGHT(Исходник!I7,2))</f>
        <v/>
      </c>
      <c r="K13" s="9">
        <f>HEX2DEC(RIGHT(Исходник!J7,2))</f>
        <v/>
      </c>
      <c r="L13" s="9">
        <f>HEX2DEC(RIGHT(Исходник!K7,2))</f>
        <v/>
      </c>
      <c r="M13" s="9">
        <f>HEX2DEC(RIGHT(Исходник!L7,2))</f>
        <v/>
      </c>
      <c r="N13" s="9">
        <f>HEX2DEC(RIGHT(Исходник!M7,2))</f>
        <v/>
      </c>
      <c r="O13" s="9">
        <f>HEX2DEC(RIGHT(Исходник!N7,2))</f>
        <v/>
      </c>
      <c r="P13" s="9">
        <f>HEX2DEC(RIGHT(Исходник!O7,2))</f>
        <v/>
      </c>
      <c r="Q13" s="9">
        <f>HEX2DEC(RIGHT(Исходник!P7,2))</f>
        <v/>
      </c>
      <c r="R13" s="9">
        <f>HEX2DEC(RIGHT(Исходник!Q7,2))</f>
        <v/>
      </c>
      <c r="S13" s="9">
        <f>HEX2DEC(RIGHT(Исходник!R7,2))</f>
        <v/>
      </c>
      <c r="T13" s="9">
        <f>HEX2DEC(RIGHT(Исходник!S7,2))</f>
        <v/>
      </c>
      <c r="U13" s="9">
        <f>HEX2DEC(RIGHT(Исходник!T7,2))</f>
        <v/>
      </c>
      <c r="V13" s="9">
        <f>HEX2DEC(RIGHT(Исходник!U7,2))</f>
        <v/>
      </c>
      <c r="W13" s="9">
        <f>HEX2DEC(RIGHT(Исходник!V7,2))</f>
        <v/>
      </c>
      <c r="X13" s="9">
        <f>HEX2DEC(RIGHT(Исходник!W7,2))</f>
        <v/>
      </c>
      <c r="Y13" s="9">
        <f>HEX2DEC(RIGHT(Исходник!X7,2))</f>
        <v/>
      </c>
      <c r="Z13" s="9">
        <f>HEX2DEC(RIGHT(Исходник!Y7,2))</f>
        <v/>
      </c>
      <c r="AA13" s="9">
        <f>HEX2DEC(RIGHT(Исходник!Z7,2))</f>
        <v/>
      </c>
      <c r="AB13" s="9">
        <f>HEX2DEC(RIGHT(Исходник!AA7,2))</f>
        <v/>
      </c>
      <c r="AC13" s="9">
        <f>HEX2DEC(RIGHT(Исходник!AB7,2))</f>
        <v/>
      </c>
      <c r="AD13" s="9">
        <f>HEX2DEC(RIGHT(Исходник!AC7,2))</f>
        <v/>
      </c>
      <c r="AE13" s="9">
        <f>HEX2DEC(RIGHT(Исходник!AD7,2))</f>
        <v/>
      </c>
      <c r="AF13" s="9">
        <f>HEX2DEC(RIGHT(Исходник!AE7,2))</f>
        <v/>
      </c>
      <c r="AG13" s="9">
        <f>HEX2DEC(RIGHT(Исходник!AF7,2))</f>
        <v/>
      </c>
      <c r="AH13" s="9">
        <f>HEX2DEC(RIGHT(Исходник!AG7,2))</f>
        <v/>
      </c>
      <c r="AI13" s="9">
        <f>HEX2DEC(RIGHT(Исходник!AH7,2))</f>
        <v/>
      </c>
      <c r="AJ13" s="9">
        <f>HEX2DEC(RIGHT(Исходник!AI7,2))</f>
        <v/>
      </c>
      <c r="AK13" s="107">
        <f>HEX2DEC(RIGHT(Исходник!AJ7,2))</f>
        <v/>
      </c>
      <c r="AO13" t="n">
        <v>1</v>
      </c>
      <c r="AP13" s="15" t="inlineStr">
        <is>
          <t>TAKE OFF</t>
        </is>
      </c>
    </row>
    <row r="14">
      <c r="C14" s="84">
        <f>Исходник!B8</f>
        <v/>
      </c>
      <c r="F14" s="10">
        <f>VLOOKUP(HEX2DEC(RIGHT(Исходник!E8,2)),$AO$12:$AP$20,2,FALSE)</f>
        <v/>
      </c>
      <c r="G14" s="10">
        <f>VLOOKUP(HEX2DEC(RIGHT(Исходник!F8,2)),$AO$12:$AP$20,2,FALSE)</f>
        <v/>
      </c>
      <c r="H14" s="10">
        <f>VLOOKUP(HEX2DEC(RIGHT(Исходник!G8,2)),$AO$12:$AP$20,2,FALSE)</f>
        <v/>
      </c>
      <c r="I14" s="10">
        <f>VLOOKUP(HEX2DEC(RIGHT(Исходник!H8,2)),$AO$12:$AP$20,2,FALSE)</f>
        <v/>
      </c>
      <c r="J14" s="10">
        <f>VLOOKUP(HEX2DEC(RIGHT(Исходник!I8,2)),$AO$12:$AP$20,2,FALSE)</f>
        <v/>
      </c>
      <c r="K14" s="10">
        <f>VLOOKUP(HEX2DEC(RIGHT(Исходник!J8,2)),$AO$12:$AP$20,2,FALSE)</f>
        <v/>
      </c>
      <c r="L14" s="10">
        <f>VLOOKUP(HEX2DEC(RIGHT(Исходник!K8,2)),$AO$12:$AP$20,2,FALSE)</f>
        <v/>
      </c>
      <c r="M14" s="10">
        <f>VLOOKUP(HEX2DEC(RIGHT(Исходник!L8,2)),$AO$12:$AP$20,2,FALSE)</f>
        <v/>
      </c>
      <c r="N14" s="10">
        <f>VLOOKUP(HEX2DEC(RIGHT(Исходник!M8,2)),$AO$12:$AP$20,2,FALSE)</f>
        <v/>
      </c>
      <c r="O14" s="10">
        <f>VLOOKUP(HEX2DEC(RIGHT(Исходник!N8,2)),$AO$12:$AP$20,2,FALSE)</f>
        <v/>
      </c>
      <c r="P14" s="10">
        <f>VLOOKUP(HEX2DEC(RIGHT(Исходник!O8,2)),$AO$12:$AP$20,2,FALSE)</f>
        <v/>
      </c>
      <c r="Q14" s="10">
        <f>VLOOKUP(HEX2DEC(RIGHT(Исходник!P8,2)),$AO$12:$AP$20,2,FALSE)</f>
        <v/>
      </c>
      <c r="R14" s="10">
        <f>VLOOKUP(HEX2DEC(RIGHT(Исходник!Q8,2)),$AO$12:$AP$20,2,FALSE)</f>
        <v/>
      </c>
      <c r="S14" s="10">
        <f>VLOOKUP(HEX2DEC(RIGHT(Исходник!R8,2)),$AO$12:$AP$20,2,FALSE)</f>
        <v/>
      </c>
      <c r="T14" s="10">
        <f>VLOOKUP(HEX2DEC(RIGHT(Исходник!S8,2)),$AO$12:$AP$20,2,FALSE)</f>
        <v/>
      </c>
      <c r="U14" s="10">
        <f>VLOOKUP(HEX2DEC(RIGHT(Исходник!T8,2)),$AO$12:$AP$20,2,FALSE)</f>
        <v/>
      </c>
      <c r="V14" s="10">
        <f>VLOOKUP(HEX2DEC(RIGHT(Исходник!U8,2)),$AO$12:$AP$20,2,FALSE)</f>
        <v/>
      </c>
      <c r="W14" s="10">
        <f>VLOOKUP(HEX2DEC(RIGHT(Исходник!V8,2)),$AO$12:$AP$20,2,FALSE)</f>
        <v/>
      </c>
      <c r="X14" s="10">
        <f>VLOOKUP(HEX2DEC(RIGHT(Исходник!W8,2)),$AO$12:$AP$20,2,FALSE)</f>
        <v/>
      </c>
      <c r="Y14" s="10">
        <f>VLOOKUP(HEX2DEC(RIGHT(Исходник!X8,2)),$AO$12:$AP$20,2,FALSE)</f>
        <v/>
      </c>
      <c r="Z14" s="10">
        <f>VLOOKUP(HEX2DEC(RIGHT(Исходник!Y8,2)),$AO$12:$AP$20,2,FALSE)</f>
        <v/>
      </c>
      <c r="AA14" s="10">
        <f>VLOOKUP(HEX2DEC(RIGHT(Исходник!Z8,2)),$AO$12:$AP$20,2,FALSE)</f>
        <v/>
      </c>
      <c r="AB14" s="10">
        <f>VLOOKUP(HEX2DEC(RIGHT(Исходник!AA8,2)),$AO$12:$AP$20,2,FALSE)</f>
        <v/>
      </c>
      <c r="AC14" s="10">
        <f>VLOOKUP(HEX2DEC(RIGHT(Исходник!AB8,2)),$AO$12:$AP$20,2,FALSE)</f>
        <v/>
      </c>
      <c r="AD14" s="10">
        <f>VLOOKUP(HEX2DEC(RIGHT(Исходник!AC8,2)),$AO$12:$AP$20,2,FALSE)</f>
        <v/>
      </c>
      <c r="AE14" s="10">
        <f>VLOOKUP(HEX2DEC(RIGHT(Исходник!AD8,2)),$AO$12:$AP$20,2,FALSE)</f>
        <v/>
      </c>
      <c r="AF14" s="10">
        <f>VLOOKUP(HEX2DEC(RIGHT(Исходник!AE8,2)),$AO$12:$AP$20,2,FALSE)</f>
        <v/>
      </c>
      <c r="AG14" s="10">
        <f>VLOOKUP(HEX2DEC(RIGHT(Исходник!AF8,2)),$AO$12:$AP$20,2,FALSE)</f>
        <v/>
      </c>
      <c r="AH14" s="10">
        <f>VLOOKUP(HEX2DEC(RIGHT(Исходник!AG8,2)),$AO$12:$AP$20,2,FALSE)</f>
        <v/>
      </c>
      <c r="AI14" s="10">
        <f>VLOOKUP(HEX2DEC(RIGHT(Исходник!AH8,2)),$AO$12:$AP$20,2,FALSE)</f>
        <v/>
      </c>
      <c r="AJ14" s="10">
        <f>VLOOKUP(HEX2DEC(RIGHT(Исходник!AI8,2)),$AO$12:$AP$20,2,FALSE)</f>
        <v/>
      </c>
      <c r="AK14" s="108">
        <f>VLOOKUP(HEX2DEC(RIGHT(Исходник!AJ8,2)),$AO$12:$AP$20,2,FALSE)</f>
        <v/>
      </c>
      <c r="AO14" t="n">
        <v>2</v>
      </c>
      <c r="AP14" s="15" t="inlineStr">
        <is>
          <t>CLIMB  INT</t>
        </is>
      </c>
    </row>
    <row r="15">
      <c r="C15" s="84">
        <f>Исходник!B9</f>
        <v/>
      </c>
      <c r="F15" s="9">
        <f>HEX2DEC(RIGHT(Исходник!E9,2))</f>
        <v/>
      </c>
      <c r="G15" s="9">
        <f>HEX2DEC(RIGHT(Исходник!F9,2))</f>
        <v/>
      </c>
      <c r="H15" s="9">
        <f>HEX2DEC(RIGHT(Исходник!G9,2))</f>
        <v/>
      </c>
      <c r="I15" s="9">
        <f>HEX2DEC(RIGHT(Исходник!H9,2))</f>
        <v/>
      </c>
      <c r="J15" s="9">
        <f>HEX2DEC(RIGHT(Исходник!I9,2))</f>
        <v/>
      </c>
      <c r="K15" s="9">
        <f>HEX2DEC(RIGHT(Исходник!J9,2))</f>
        <v/>
      </c>
      <c r="L15" s="9">
        <f>HEX2DEC(RIGHT(Исходник!K9,2))</f>
        <v/>
      </c>
      <c r="M15" s="9">
        <f>HEX2DEC(RIGHT(Исходник!L9,2))</f>
        <v/>
      </c>
      <c r="N15" s="9">
        <f>HEX2DEC(RIGHT(Исходник!M9,2))</f>
        <v/>
      </c>
      <c r="O15" s="9">
        <f>HEX2DEC(RIGHT(Исходник!N9,2))</f>
        <v/>
      </c>
      <c r="P15" s="9">
        <f>HEX2DEC(RIGHT(Исходник!O9,2))</f>
        <v/>
      </c>
      <c r="Q15" s="9">
        <f>HEX2DEC(RIGHT(Исходник!P9,2))</f>
        <v/>
      </c>
      <c r="R15" s="9">
        <f>HEX2DEC(RIGHT(Исходник!Q9,2))</f>
        <v/>
      </c>
      <c r="S15" s="9">
        <f>HEX2DEC(RIGHT(Исходник!R9,2))</f>
        <v/>
      </c>
      <c r="T15" s="9">
        <f>HEX2DEC(RIGHT(Исходник!S9,2))</f>
        <v/>
      </c>
      <c r="U15" s="9">
        <f>HEX2DEC(RIGHT(Исходник!T9,2))</f>
        <v/>
      </c>
      <c r="V15" s="9">
        <f>HEX2DEC(RIGHT(Исходник!U9,2))</f>
        <v/>
      </c>
      <c r="W15" s="9">
        <f>HEX2DEC(RIGHT(Исходник!V9,2))</f>
        <v/>
      </c>
      <c r="X15" s="9">
        <f>HEX2DEC(RIGHT(Исходник!W9,2))</f>
        <v/>
      </c>
      <c r="Y15" s="9">
        <f>HEX2DEC(RIGHT(Исходник!X9,2))</f>
        <v/>
      </c>
      <c r="Z15" s="9">
        <f>HEX2DEC(RIGHT(Исходник!Y9,2))</f>
        <v/>
      </c>
      <c r="AA15" s="9">
        <f>HEX2DEC(RIGHT(Исходник!Z9,2))</f>
        <v/>
      </c>
      <c r="AB15" s="9">
        <f>HEX2DEC(RIGHT(Исходник!AA9,2))</f>
        <v/>
      </c>
      <c r="AC15" s="9">
        <f>HEX2DEC(RIGHT(Исходник!AB9,2))</f>
        <v/>
      </c>
      <c r="AD15" s="9">
        <f>HEX2DEC(RIGHT(Исходник!AC9,2))</f>
        <v/>
      </c>
      <c r="AE15" s="9">
        <f>HEX2DEC(RIGHT(Исходник!AD9,2))</f>
        <v/>
      </c>
      <c r="AF15" s="9">
        <f>HEX2DEC(RIGHT(Исходник!AE9,2))</f>
        <v/>
      </c>
      <c r="AG15" s="9">
        <f>HEX2DEC(RIGHT(Исходник!AF9,2))</f>
        <v/>
      </c>
      <c r="AH15" s="9">
        <f>HEX2DEC(RIGHT(Исходник!AG9,2))</f>
        <v/>
      </c>
      <c r="AI15" s="9">
        <f>HEX2DEC(RIGHT(Исходник!AH9,2))</f>
        <v/>
      </c>
      <c r="AJ15" s="9">
        <f>HEX2DEC(RIGHT(Исходник!AI9,2))</f>
        <v/>
      </c>
      <c r="AK15" s="107">
        <f>HEX2DEC(RIGHT(Исходник!AJ9,2))</f>
        <v/>
      </c>
      <c r="AO15" t="n">
        <v>3</v>
      </c>
      <c r="AP15" s="15" t="inlineStr">
        <is>
          <t>CLIMB EXT</t>
        </is>
      </c>
    </row>
    <row r="16">
      <c r="C16" s="84">
        <f>Исходник!B10</f>
        <v/>
      </c>
      <c r="F16" s="10">
        <f>VLOOKUP(HEX2DEC(RIGHT(Исходник!E10,2)),$AO$24:$AP$35,2,FALSE)</f>
        <v/>
      </c>
      <c r="G16" s="10">
        <f>VLOOKUP(HEX2DEC(RIGHT(Исходник!F10,2)),$AO$24:$AP$35,2,FALSE)</f>
        <v/>
      </c>
      <c r="H16" s="10">
        <f>VLOOKUP(HEX2DEC(RIGHT(Исходник!G10,2)),$AO$24:$AP$35,2,FALSE)</f>
        <v/>
      </c>
      <c r="I16" s="10">
        <f>VLOOKUP(HEX2DEC(RIGHT(Исходник!H10,2)),$AO$24:$AP$35,2,FALSE)</f>
        <v/>
      </c>
      <c r="J16" s="10">
        <f>VLOOKUP(HEX2DEC(RIGHT(Исходник!I10,2)),$AO$24:$AP$35,2,FALSE)</f>
        <v/>
      </c>
      <c r="K16" s="10">
        <f>VLOOKUP(HEX2DEC(RIGHT(Исходник!J10,2)),$AO$24:$AP$35,2,FALSE)</f>
        <v/>
      </c>
      <c r="L16" s="10">
        <f>VLOOKUP(HEX2DEC(RIGHT(Исходник!K10,2)),$AO$24:$AP$35,2,FALSE)</f>
        <v/>
      </c>
      <c r="M16" s="10">
        <f>VLOOKUP(HEX2DEC(RIGHT(Исходник!L10,2)),$AO$24:$AP$35,2,FALSE)</f>
        <v/>
      </c>
      <c r="N16" s="10">
        <f>VLOOKUP(HEX2DEC(RIGHT(Исходник!M10,2)),$AO$24:$AP$35,2,FALSE)</f>
        <v/>
      </c>
      <c r="O16" s="10">
        <f>VLOOKUP(HEX2DEC(RIGHT(Исходник!N10,2)),$AO$24:$AP$35,2,FALSE)</f>
        <v/>
      </c>
      <c r="P16" s="10">
        <f>VLOOKUP(HEX2DEC(RIGHT(Исходник!O10,2)),$AO$24:$AP$35,2,FALSE)</f>
        <v/>
      </c>
      <c r="Q16" s="10">
        <f>VLOOKUP(HEX2DEC(RIGHT(Исходник!P10,2)),$AO$24:$AP$35,2,FALSE)</f>
        <v/>
      </c>
      <c r="R16" s="10">
        <f>VLOOKUP(HEX2DEC(RIGHT(Исходник!Q10,2)),$AO$24:$AP$35,2,FALSE)</f>
        <v/>
      </c>
      <c r="S16" s="10">
        <f>VLOOKUP(HEX2DEC(RIGHT(Исходник!R10,2)),$AO$24:$AP$35,2,FALSE)</f>
        <v/>
      </c>
      <c r="T16" s="10">
        <f>VLOOKUP(HEX2DEC(RIGHT(Исходник!S10,2)),$AO$24:$AP$35,2,FALSE)</f>
        <v/>
      </c>
      <c r="U16" s="10">
        <f>VLOOKUP(HEX2DEC(RIGHT(Исходник!T10,2)),$AO$24:$AP$35,2,FALSE)</f>
        <v/>
      </c>
      <c r="V16" s="10">
        <f>VLOOKUP(HEX2DEC(RIGHT(Исходник!U10,2)),$AO$24:$AP$35,2,FALSE)</f>
        <v/>
      </c>
      <c r="W16" s="10">
        <f>VLOOKUP(HEX2DEC(RIGHT(Исходник!V10,2)),$AO$24:$AP$35,2,FALSE)</f>
        <v/>
      </c>
      <c r="X16" s="10">
        <f>VLOOKUP(HEX2DEC(RIGHT(Исходник!W10,2)),$AO$24:$AP$35,2,FALSE)</f>
        <v/>
      </c>
      <c r="Y16" s="10">
        <f>VLOOKUP(HEX2DEC(RIGHT(Исходник!X10,2)),$AO$24:$AP$35,2,FALSE)</f>
        <v/>
      </c>
      <c r="Z16" s="10">
        <f>VLOOKUP(HEX2DEC(RIGHT(Исходник!Y10,2)),$AO$24:$AP$35,2,FALSE)</f>
        <v/>
      </c>
      <c r="AA16" s="10">
        <f>VLOOKUP(HEX2DEC(RIGHT(Исходник!Z10,2)),$AO$24:$AP$35,2,FALSE)</f>
        <v/>
      </c>
      <c r="AB16" s="10">
        <f>VLOOKUP(HEX2DEC(RIGHT(Исходник!AA10,2)),$AO$24:$AP$35,2,FALSE)</f>
        <v/>
      </c>
      <c r="AC16" s="10">
        <f>VLOOKUP(HEX2DEC(RIGHT(Исходник!AB10,2)),$AO$24:$AP$35,2,FALSE)</f>
        <v/>
      </c>
      <c r="AD16" s="10">
        <f>VLOOKUP(HEX2DEC(RIGHT(Исходник!AC10,2)),$AO$24:$AP$35,2,FALSE)</f>
        <v/>
      </c>
      <c r="AE16" s="10">
        <f>VLOOKUP(HEX2DEC(RIGHT(Исходник!AD10,2)),$AO$24:$AP$35,2,FALSE)</f>
        <v/>
      </c>
      <c r="AF16" s="10">
        <f>VLOOKUP(HEX2DEC(RIGHT(Исходник!AE10,2)),$AO$24:$AP$35,2,FALSE)</f>
        <v/>
      </c>
      <c r="AG16" s="10">
        <f>VLOOKUP(HEX2DEC(RIGHT(Исходник!AF10,2)),$AO$24:$AP$35,2,FALSE)</f>
        <v/>
      </c>
      <c r="AH16" s="10">
        <f>VLOOKUP(HEX2DEC(RIGHT(Исходник!AG10,2)),$AO$24:$AP$35,2,FALSE)</f>
        <v/>
      </c>
      <c r="AI16" s="10">
        <f>VLOOKUP(HEX2DEC(RIGHT(Исходник!AH10,2)),$AO$24:$AP$35,2,FALSE)</f>
        <v/>
      </c>
      <c r="AJ16" s="10">
        <f>VLOOKUP(HEX2DEC(RIGHT(Исходник!AI10,2)),$AO$24:$AP$35,2,FALSE)</f>
        <v/>
      </c>
      <c r="AK16" s="108">
        <f>VLOOKUP(HEX2DEC(RIGHT(Исходник!AJ10,2)),$AO$24:$AP$35,2,FALSE)</f>
        <v/>
      </c>
      <c r="AO16" t="n">
        <v>4</v>
      </c>
      <c r="AP16" s="15" t="inlineStr">
        <is>
          <t>ABORT</t>
        </is>
      </c>
    </row>
    <row r="17">
      <c r="C17" s="84">
        <f>Исходник!B11</f>
        <v/>
      </c>
      <c r="F17" s="9">
        <f>IFERROR(CHAR(HEX2DEC(Исходник!E11)),"")</f>
        <v/>
      </c>
      <c r="G17" s="9">
        <f>IFERROR(CHAR(HEX2DEC(Исходник!F11)),"")</f>
        <v/>
      </c>
      <c r="H17" s="9">
        <f>IFERROR(CHAR(HEX2DEC(Исходник!G11)),"")</f>
        <v/>
      </c>
      <c r="I17" s="9">
        <f>IFERROR(CHAR(HEX2DEC(Исходник!H11)),"")</f>
        <v/>
      </c>
      <c r="J17" s="9">
        <f>IFERROR(CHAR(HEX2DEC(Исходник!I11)),"")</f>
        <v/>
      </c>
      <c r="K17" s="9">
        <f>IFERROR(CHAR(HEX2DEC(Исходник!J11)),"")</f>
        <v/>
      </c>
      <c r="L17" s="9">
        <f>IFERROR(CHAR(HEX2DEC(Исходник!K11)),"")</f>
        <v/>
      </c>
      <c r="M17" s="9">
        <f>IFERROR(CHAR(HEX2DEC(Исходник!L11)),"")</f>
        <v/>
      </c>
      <c r="N17" s="9">
        <f>IFERROR(CHAR(HEX2DEC(Исходник!M11)),"")</f>
        <v/>
      </c>
      <c r="O17" s="9">
        <f>IFERROR(CHAR(HEX2DEC(Исходник!N11)),"")</f>
        <v/>
      </c>
      <c r="P17" s="9">
        <f>IFERROR(CHAR(HEX2DEC(Исходник!O11)),"")</f>
        <v/>
      </c>
      <c r="Q17" s="9">
        <f>IFERROR(CHAR(HEX2DEC(Исходник!P11)),"")</f>
        <v/>
      </c>
      <c r="R17" s="9">
        <f>IFERROR(CHAR(HEX2DEC(Исходник!Q11)),"")</f>
        <v/>
      </c>
      <c r="S17" s="9">
        <f>IFERROR(CHAR(HEX2DEC(Исходник!R11)),"")</f>
        <v/>
      </c>
      <c r="T17" s="9">
        <f>IFERROR(CHAR(HEX2DEC(Исходник!S11)),"")</f>
        <v/>
      </c>
      <c r="U17" s="9">
        <f>IFERROR(CHAR(HEX2DEC(Исходник!T11)),"")</f>
        <v/>
      </c>
      <c r="V17" s="9">
        <f>IFERROR(CHAR(HEX2DEC(Исходник!U11)),"")</f>
        <v/>
      </c>
      <c r="W17" s="9">
        <f>IFERROR(CHAR(HEX2DEC(Исходник!V11)),"")</f>
        <v/>
      </c>
      <c r="X17" s="9">
        <f>IFERROR(CHAR(HEX2DEC(Исходник!W11)),"")</f>
        <v/>
      </c>
      <c r="Y17" s="9">
        <f>IFERROR(CHAR(HEX2DEC(Исходник!X11)),"")</f>
        <v/>
      </c>
      <c r="Z17" s="9">
        <f>IFERROR(CHAR(HEX2DEC(Исходник!Y11)),"")</f>
        <v/>
      </c>
      <c r="AA17" s="9">
        <f>IFERROR(CHAR(HEX2DEC(Исходник!Z11)),"")</f>
        <v/>
      </c>
      <c r="AB17" s="9">
        <f>IFERROR(CHAR(HEX2DEC(Исходник!AA11)),"")</f>
        <v/>
      </c>
      <c r="AC17" s="9">
        <f>IFERROR(CHAR(HEX2DEC(Исходник!AB11)),"")</f>
        <v/>
      </c>
      <c r="AD17" s="9">
        <f>IFERROR(CHAR(HEX2DEC(Исходник!AC11)),"")</f>
        <v/>
      </c>
      <c r="AE17" s="9">
        <f>IFERROR(CHAR(HEX2DEC(Исходник!AD11)),"")</f>
        <v/>
      </c>
      <c r="AF17" s="9">
        <f>IFERROR(CHAR(HEX2DEC(Исходник!AE11)),"")</f>
        <v/>
      </c>
      <c r="AG17" s="9">
        <f>IFERROR(CHAR(HEX2DEC(Исходник!AF11)),"")</f>
        <v/>
      </c>
      <c r="AH17" s="9">
        <f>IFERROR(CHAR(HEX2DEC(Исходник!AG11)),"")</f>
        <v/>
      </c>
      <c r="AI17" s="9">
        <f>IFERROR(CHAR(HEX2DEC(Исходник!AH11)),"")</f>
        <v/>
      </c>
      <c r="AJ17" s="9">
        <f>IFERROR(CHAR(HEX2DEC(Исходник!AI11)),"")</f>
        <v/>
      </c>
      <c r="AK17" s="107">
        <f>IFERROR(CHAR(HEX2DEC(Исходник!AJ11)),"")</f>
        <v/>
      </c>
      <c r="AO17" t="n">
        <v>5</v>
      </c>
      <c r="AP17" s="15" t="inlineStr">
        <is>
          <t>CRUISE</t>
        </is>
      </c>
    </row>
    <row r="18">
      <c r="C18" s="84">
        <f>Исходник!B12</f>
        <v/>
      </c>
      <c r="F18" s="9">
        <f>IFERROR(CHAR(HEX2DEC(Исходник!E12)),"")</f>
        <v/>
      </c>
      <c r="G18" s="9">
        <f>IFERROR(CHAR(HEX2DEC(Исходник!F12)),"")</f>
        <v/>
      </c>
      <c r="H18" s="9">
        <f>IFERROR(CHAR(HEX2DEC(Исходник!G12)),"")</f>
        <v/>
      </c>
      <c r="I18" s="9">
        <f>IFERROR(CHAR(HEX2DEC(Исходник!H12)),"")</f>
        <v/>
      </c>
      <c r="J18" s="9">
        <f>IFERROR(CHAR(HEX2DEC(Исходник!I12)),"")</f>
        <v/>
      </c>
      <c r="K18" s="9">
        <f>IFERROR(CHAR(HEX2DEC(Исходник!J12)),"")</f>
        <v/>
      </c>
      <c r="L18" s="9">
        <f>IFERROR(CHAR(HEX2DEC(Исходник!K12)),"")</f>
        <v/>
      </c>
      <c r="M18" s="9">
        <f>IFERROR(CHAR(HEX2DEC(Исходник!L12)),"")</f>
        <v/>
      </c>
      <c r="N18" s="9">
        <f>IFERROR(CHAR(HEX2DEC(Исходник!M12)),"")</f>
        <v/>
      </c>
      <c r="O18" s="9">
        <f>IFERROR(CHAR(HEX2DEC(Исходник!N12)),"")</f>
        <v/>
      </c>
      <c r="P18" s="9">
        <f>IFERROR(CHAR(HEX2DEC(Исходник!O12)),"")</f>
        <v/>
      </c>
      <c r="Q18" s="9">
        <f>IFERROR(CHAR(HEX2DEC(Исходник!P12)),"")</f>
        <v/>
      </c>
      <c r="R18" s="9">
        <f>IFERROR(CHAR(HEX2DEC(Исходник!Q12)),"")</f>
        <v/>
      </c>
      <c r="S18" s="9">
        <f>IFERROR(CHAR(HEX2DEC(Исходник!R12)),"")</f>
        <v/>
      </c>
      <c r="T18" s="9">
        <f>IFERROR(CHAR(HEX2DEC(Исходник!S12)),"")</f>
        <v/>
      </c>
      <c r="U18" s="9">
        <f>IFERROR(CHAR(HEX2DEC(Исходник!T12)),"")</f>
        <v/>
      </c>
      <c r="V18" s="9">
        <f>IFERROR(CHAR(HEX2DEC(Исходник!U12)),"")</f>
        <v/>
      </c>
      <c r="W18" s="9">
        <f>IFERROR(CHAR(HEX2DEC(Исходник!V12)),"")</f>
        <v/>
      </c>
      <c r="X18" s="9">
        <f>IFERROR(CHAR(HEX2DEC(Исходник!W12)),"")</f>
        <v/>
      </c>
      <c r="Y18" s="9">
        <f>IFERROR(CHAR(HEX2DEC(Исходник!X12)),"")</f>
        <v/>
      </c>
      <c r="Z18" s="9">
        <f>IFERROR(CHAR(HEX2DEC(Исходник!Y12)),"")</f>
        <v/>
      </c>
      <c r="AA18" s="9">
        <f>IFERROR(CHAR(HEX2DEC(Исходник!Z12)),"")</f>
        <v/>
      </c>
      <c r="AB18" s="9">
        <f>IFERROR(CHAR(HEX2DEC(Исходник!AA12)),"")</f>
        <v/>
      </c>
      <c r="AC18" s="9">
        <f>IFERROR(CHAR(HEX2DEC(Исходник!AB12)),"")</f>
        <v/>
      </c>
      <c r="AD18" s="9">
        <f>IFERROR(CHAR(HEX2DEC(Исходник!AC12)),"")</f>
        <v/>
      </c>
      <c r="AE18" s="9">
        <f>IFERROR(CHAR(HEX2DEC(Исходник!AD12)),"")</f>
        <v/>
      </c>
      <c r="AF18" s="9">
        <f>IFERROR(CHAR(HEX2DEC(Исходник!AE12)),"")</f>
        <v/>
      </c>
      <c r="AG18" s="9">
        <f>IFERROR(CHAR(HEX2DEC(Исходник!AF12)),"")</f>
        <v/>
      </c>
      <c r="AH18" s="9">
        <f>IFERROR(CHAR(HEX2DEC(Исходник!AG12)),"")</f>
        <v/>
      </c>
      <c r="AI18" s="9">
        <f>IFERROR(CHAR(HEX2DEC(Исходник!AH12)),"")</f>
        <v/>
      </c>
      <c r="AJ18" s="9">
        <f>IFERROR(CHAR(HEX2DEC(Исходник!AI12)),"")</f>
        <v/>
      </c>
      <c r="AK18" s="107">
        <f>IFERROR(CHAR(HEX2DEC(Исходник!AJ12)),"")</f>
        <v/>
      </c>
      <c r="AO18" t="n">
        <v>6</v>
      </c>
      <c r="AP18" s="15" t="inlineStr">
        <is>
          <t>DESCENT INT</t>
        </is>
      </c>
    </row>
    <row r="19">
      <c r="C19" s="84">
        <f>Исходник!B13</f>
        <v/>
      </c>
      <c r="F19" s="9">
        <f>IFERROR(CHAR(HEX2DEC(Исходник!E13)),"")</f>
        <v/>
      </c>
      <c r="G19" s="9">
        <f>IFERROR(CHAR(HEX2DEC(Исходник!F13)),"")</f>
        <v/>
      </c>
      <c r="H19" s="9">
        <f>IFERROR(CHAR(HEX2DEC(Исходник!G13)),"")</f>
        <v/>
      </c>
      <c r="I19" s="9">
        <f>IFERROR(CHAR(HEX2DEC(Исходник!H13)),"")</f>
        <v/>
      </c>
      <c r="J19" s="9">
        <f>IFERROR(CHAR(HEX2DEC(Исходник!I13)),"")</f>
        <v/>
      </c>
      <c r="K19" s="9">
        <f>IFERROR(CHAR(HEX2DEC(Исходник!J13)),"")</f>
        <v/>
      </c>
      <c r="L19" s="9">
        <f>IFERROR(CHAR(HEX2DEC(Исходник!K13)),"")</f>
        <v/>
      </c>
      <c r="M19" s="9">
        <f>IFERROR(CHAR(HEX2DEC(Исходник!L13)),"")</f>
        <v/>
      </c>
      <c r="N19" s="9">
        <f>IFERROR(CHAR(HEX2DEC(Исходник!M13)),"")</f>
        <v/>
      </c>
      <c r="O19" s="9">
        <f>IFERROR(CHAR(HEX2DEC(Исходник!N13)),"")</f>
        <v/>
      </c>
      <c r="P19" s="9">
        <f>IFERROR(CHAR(HEX2DEC(Исходник!O13)),"")</f>
        <v/>
      </c>
      <c r="Q19" s="9">
        <f>IFERROR(CHAR(HEX2DEC(Исходник!P13)),"")</f>
        <v/>
      </c>
      <c r="R19" s="9">
        <f>IFERROR(CHAR(HEX2DEC(Исходник!Q13)),"")</f>
        <v/>
      </c>
      <c r="S19" s="9">
        <f>IFERROR(CHAR(HEX2DEC(Исходник!R13)),"")</f>
        <v/>
      </c>
      <c r="T19" s="9">
        <f>IFERROR(CHAR(HEX2DEC(Исходник!S13)),"")</f>
        <v/>
      </c>
      <c r="U19" s="9">
        <f>IFERROR(CHAR(HEX2DEC(Исходник!T13)),"")</f>
        <v/>
      </c>
      <c r="V19" s="9">
        <f>IFERROR(CHAR(HEX2DEC(Исходник!U13)),"")</f>
        <v/>
      </c>
      <c r="W19" s="9">
        <f>IFERROR(CHAR(HEX2DEC(Исходник!V13)),"")</f>
        <v/>
      </c>
      <c r="X19" s="9">
        <f>IFERROR(CHAR(HEX2DEC(Исходник!W13)),"")</f>
        <v/>
      </c>
      <c r="Y19" s="9">
        <f>IFERROR(CHAR(HEX2DEC(Исходник!X13)),"")</f>
        <v/>
      </c>
      <c r="Z19" s="9">
        <f>IFERROR(CHAR(HEX2DEC(Исходник!Y13)),"")</f>
        <v/>
      </c>
      <c r="AA19" s="9">
        <f>IFERROR(CHAR(HEX2DEC(Исходник!Z13)),"")</f>
        <v/>
      </c>
      <c r="AB19" s="9">
        <f>IFERROR(CHAR(HEX2DEC(Исходник!AA13)),"")</f>
        <v/>
      </c>
      <c r="AC19" s="9">
        <f>IFERROR(CHAR(HEX2DEC(Исходник!AB13)),"")</f>
        <v/>
      </c>
      <c r="AD19" s="9">
        <f>IFERROR(CHAR(HEX2DEC(Исходник!AC13)),"")</f>
        <v/>
      </c>
      <c r="AE19" s="9">
        <f>IFERROR(CHAR(HEX2DEC(Исходник!AD13)),"")</f>
        <v/>
      </c>
      <c r="AF19" s="9">
        <f>IFERROR(CHAR(HEX2DEC(Исходник!AE13)),"")</f>
        <v/>
      </c>
      <c r="AG19" s="9">
        <f>IFERROR(CHAR(HEX2DEC(Исходник!AF13)),"")</f>
        <v/>
      </c>
      <c r="AH19" s="9">
        <f>IFERROR(CHAR(HEX2DEC(Исходник!AG13)),"")</f>
        <v/>
      </c>
      <c r="AI19" s="9">
        <f>IFERROR(CHAR(HEX2DEC(Исходник!AH13)),"")</f>
        <v/>
      </c>
      <c r="AJ19" s="9">
        <f>IFERROR(CHAR(HEX2DEC(Исходник!AI13)),"")</f>
        <v/>
      </c>
      <c r="AK19" s="107">
        <f>IFERROR(CHAR(HEX2DEC(Исходник!AJ13)),"")</f>
        <v/>
      </c>
      <c r="AO19" t="n">
        <v>7</v>
      </c>
      <c r="AP19" s="15" t="inlineStr">
        <is>
          <t>DESCENT EXT</t>
        </is>
      </c>
    </row>
    <row r="20">
      <c r="C20" s="84">
        <f>Исходник!B14</f>
        <v/>
      </c>
      <c r="F20" s="9">
        <f>IFERROR(CHAR(HEX2DEC(Исходник!E14)),"")</f>
        <v/>
      </c>
      <c r="G20" s="9">
        <f>IFERROR(CHAR(HEX2DEC(Исходник!F14)),"")</f>
        <v/>
      </c>
      <c r="H20" s="9">
        <f>IFERROR(CHAR(HEX2DEC(Исходник!G14)),"")</f>
        <v/>
      </c>
      <c r="I20" s="9">
        <f>IFERROR(CHAR(HEX2DEC(Исходник!H14)),"")</f>
        <v/>
      </c>
      <c r="J20" s="9">
        <f>IFERROR(CHAR(HEX2DEC(Исходник!I14)),"")</f>
        <v/>
      </c>
      <c r="K20" s="9">
        <f>IFERROR(CHAR(HEX2DEC(Исходник!J14)),"")</f>
        <v/>
      </c>
      <c r="L20" s="9">
        <f>IFERROR(CHAR(HEX2DEC(Исходник!K14)),"")</f>
        <v/>
      </c>
      <c r="M20" s="9">
        <f>IFERROR(CHAR(HEX2DEC(Исходник!L14)),"")</f>
        <v/>
      </c>
      <c r="N20" s="9">
        <f>IFERROR(CHAR(HEX2DEC(Исходник!M14)),"")</f>
        <v/>
      </c>
      <c r="O20" s="9">
        <f>IFERROR(CHAR(HEX2DEC(Исходник!N14)),"")</f>
        <v/>
      </c>
      <c r="P20" s="9">
        <f>IFERROR(CHAR(HEX2DEC(Исходник!O14)),"")</f>
        <v/>
      </c>
      <c r="Q20" s="9">
        <f>IFERROR(CHAR(HEX2DEC(Исходник!P14)),"")</f>
        <v/>
      </c>
      <c r="R20" s="9">
        <f>IFERROR(CHAR(HEX2DEC(Исходник!Q14)),"")</f>
        <v/>
      </c>
      <c r="S20" s="9">
        <f>IFERROR(CHAR(HEX2DEC(Исходник!R14)),"")</f>
        <v/>
      </c>
      <c r="T20" s="9">
        <f>IFERROR(CHAR(HEX2DEC(Исходник!S14)),"")</f>
        <v/>
      </c>
      <c r="U20" s="9">
        <f>IFERROR(CHAR(HEX2DEC(Исходник!T14)),"")</f>
        <v/>
      </c>
      <c r="V20" s="9">
        <f>IFERROR(CHAR(HEX2DEC(Исходник!U14)),"")</f>
        <v/>
      </c>
      <c r="W20" s="9">
        <f>IFERROR(CHAR(HEX2DEC(Исходник!V14)),"")</f>
        <v/>
      </c>
      <c r="X20" s="9">
        <f>IFERROR(CHAR(HEX2DEC(Исходник!W14)),"")</f>
        <v/>
      </c>
      <c r="Y20" s="9">
        <f>IFERROR(CHAR(HEX2DEC(Исходник!X14)),"")</f>
        <v/>
      </c>
      <c r="Z20" s="9">
        <f>IFERROR(CHAR(HEX2DEC(Исходник!Y14)),"")</f>
        <v/>
      </c>
      <c r="AA20" s="9">
        <f>IFERROR(CHAR(HEX2DEC(Исходник!Z14)),"")</f>
        <v/>
      </c>
      <c r="AB20" s="9">
        <f>IFERROR(CHAR(HEX2DEC(Исходник!AA14)),"")</f>
        <v/>
      </c>
      <c r="AC20" s="9">
        <f>IFERROR(CHAR(HEX2DEC(Исходник!AB14)),"")</f>
        <v/>
      </c>
      <c r="AD20" s="9">
        <f>IFERROR(CHAR(HEX2DEC(Исходник!AC14)),"")</f>
        <v/>
      </c>
      <c r="AE20" s="9">
        <f>IFERROR(CHAR(HEX2DEC(Исходник!AD14)),"")</f>
        <v/>
      </c>
      <c r="AF20" s="9">
        <f>IFERROR(CHAR(HEX2DEC(Исходник!AE14)),"")</f>
        <v/>
      </c>
      <c r="AG20" s="9">
        <f>IFERROR(CHAR(HEX2DEC(Исходник!AF14)),"")</f>
        <v/>
      </c>
      <c r="AH20" s="9">
        <f>IFERROR(CHAR(HEX2DEC(Исходник!AG14)),"")</f>
        <v/>
      </c>
      <c r="AI20" s="9">
        <f>IFERROR(CHAR(HEX2DEC(Исходник!AH14)),"")</f>
        <v/>
      </c>
      <c r="AJ20" s="9">
        <f>IFERROR(CHAR(HEX2DEC(Исходник!AI14)),"")</f>
        <v/>
      </c>
      <c r="AK20" s="107">
        <f>IFERROR(CHAR(HEX2DEC(Исходник!AJ14)),"")</f>
        <v/>
      </c>
      <c r="AO20" t="n">
        <v>256</v>
      </c>
      <c r="AP20" s="15" t="inlineStr">
        <is>
          <t>NOT INIT</t>
        </is>
      </c>
    </row>
    <row r="21">
      <c r="C21" s="84">
        <f>Исходник!B15</f>
        <v/>
      </c>
      <c r="F21" s="9">
        <f>IFERROR(CHAR(HEX2DEC(Исходник!E15)),"")</f>
        <v/>
      </c>
      <c r="G21" s="9">
        <f>IFERROR(CHAR(HEX2DEC(Исходник!F15)),"")</f>
        <v/>
      </c>
      <c r="H21" s="9">
        <f>IFERROR(CHAR(HEX2DEC(Исходник!G15)),"")</f>
        <v/>
      </c>
      <c r="I21" s="9">
        <f>IFERROR(CHAR(HEX2DEC(Исходник!H15)),"")</f>
        <v/>
      </c>
      <c r="J21" s="9">
        <f>IFERROR(CHAR(HEX2DEC(Исходник!I15)),"")</f>
        <v/>
      </c>
      <c r="K21" s="9">
        <f>IFERROR(CHAR(HEX2DEC(Исходник!J15)),"")</f>
        <v/>
      </c>
      <c r="L21" s="9">
        <f>IFERROR(CHAR(HEX2DEC(Исходник!K15)),"")</f>
        <v/>
      </c>
      <c r="M21" s="9">
        <f>IFERROR(CHAR(HEX2DEC(Исходник!L15)),"")</f>
        <v/>
      </c>
      <c r="N21" s="9">
        <f>IFERROR(CHAR(HEX2DEC(Исходник!M15)),"")</f>
        <v/>
      </c>
      <c r="O21" s="9">
        <f>IFERROR(CHAR(HEX2DEC(Исходник!N15)),"")</f>
        <v/>
      </c>
      <c r="P21" s="9">
        <f>IFERROR(CHAR(HEX2DEC(Исходник!O15)),"")</f>
        <v/>
      </c>
      <c r="Q21" s="9">
        <f>IFERROR(CHAR(HEX2DEC(Исходник!P15)),"")</f>
        <v/>
      </c>
      <c r="R21" s="9">
        <f>IFERROR(CHAR(HEX2DEC(Исходник!Q15)),"")</f>
        <v/>
      </c>
      <c r="S21" s="9">
        <f>IFERROR(CHAR(HEX2DEC(Исходник!R15)),"")</f>
        <v/>
      </c>
      <c r="T21" s="9">
        <f>IFERROR(CHAR(HEX2DEC(Исходник!S15)),"")</f>
        <v/>
      </c>
      <c r="U21" s="9">
        <f>IFERROR(CHAR(HEX2DEC(Исходник!T15)),"")</f>
        <v/>
      </c>
      <c r="V21" s="9">
        <f>IFERROR(CHAR(HEX2DEC(Исходник!U15)),"")</f>
        <v/>
      </c>
      <c r="W21" s="9">
        <f>IFERROR(CHAR(HEX2DEC(Исходник!V15)),"")</f>
        <v/>
      </c>
      <c r="X21" s="9">
        <f>IFERROR(CHAR(HEX2DEC(Исходник!W15)),"")</f>
        <v/>
      </c>
      <c r="Y21" s="9">
        <f>IFERROR(CHAR(HEX2DEC(Исходник!X15)),"")</f>
        <v/>
      </c>
      <c r="Z21" s="9">
        <f>IFERROR(CHAR(HEX2DEC(Исходник!Y15)),"")</f>
        <v/>
      </c>
      <c r="AA21" s="9">
        <f>IFERROR(CHAR(HEX2DEC(Исходник!Z15)),"")</f>
        <v/>
      </c>
      <c r="AB21" s="9">
        <f>IFERROR(CHAR(HEX2DEC(Исходник!AA15)),"")</f>
        <v/>
      </c>
      <c r="AC21" s="9">
        <f>IFERROR(CHAR(HEX2DEC(Исходник!AB15)),"")</f>
        <v/>
      </c>
      <c r="AD21" s="9">
        <f>IFERROR(CHAR(HEX2DEC(Исходник!AC15)),"")</f>
        <v/>
      </c>
      <c r="AE21" s="9">
        <f>IFERROR(CHAR(HEX2DEC(Исходник!AD15)),"")</f>
        <v/>
      </c>
      <c r="AF21" s="9">
        <f>IFERROR(CHAR(HEX2DEC(Исходник!AE15)),"")</f>
        <v/>
      </c>
      <c r="AG21" s="9">
        <f>IFERROR(CHAR(HEX2DEC(Исходник!AF15)),"")</f>
        <v/>
      </c>
      <c r="AH21" s="9">
        <f>IFERROR(CHAR(HEX2DEC(Исходник!AG15)),"")</f>
        <v/>
      </c>
      <c r="AI21" s="9">
        <f>IFERROR(CHAR(HEX2DEC(Исходник!AH15)),"")</f>
        <v/>
      </c>
      <c r="AJ21" s="9">
        <f>IFERROR(CHAR(HEX2DEC(Исходник!AI15)),"")</f>
        <v/>
      </c>
      <c r="AK21" s="107">
        <f>IFERROR(CHAR(HEX2DEC(Исходник!AJ15)),"")</f>
        <v/>
      </c>
    </row>
    <row r="22">
      <c r="C22" s="84">
        <f>Исходник!B16</f>
        <v/>
      </c>
      <c r="F22" s="9">
        <f>IFERROR(CHAR(HEX2DEC(Исходник!E16)),"")</f>
        <v/>
      </c>
      <c r="G22" s="9">
        <f>IFERROR(CHAR(HEX2DEC(Исходник!F16)),"")</f>
        <v/>
      </c>
      <c r="H22" s="9">
        <f>IFERROR(CHAR(HEX2DEC(Исходник!G16)),"")</f>
        <v/>
      </c>
      <c r="I22" s="9">
        <f>IFERROR(CHAR(HEX2DEC(Исходник!H16)),"")</f>
        <v/>
      </c>
      <c r="J22" s="9">
        <f>IFERROR(CHAR(HEX2DEC(Исходник!I16)),"")</f>
        <v/>
      </c>
      <c r="K22" s="9">
        <f>IFERROR(CHAR(HEX2DEC(Исходник!J16)),"")</f>
        <v/>
      </c>
      <c r="L22" s="9">
        <f>IFERROR(CHAR(HEX2DEC(Исходник!K16)),"")</f>
        <v/>
      </c>
      <c r="M22" s="9">
        <f>IFERROR(CHAR(HEX2DEC(Исходник!L16)),"")</f>
        <v/>
      </c>
      <c r="N22" s="9">
        <f>IFERROR(CHAR(HEX2DEC(Исходник!M16)),"")</f>
        <v/>
      </c>
      <c r="O22" s="9">
        <f>IFERROR(CHAR(HEX2DEC(Исходник!N16)),"")</f>
        <v/>
      </c>
      <c r="P22" s="9">
        <f>IFERROR(CHAR(HEX2DEC(Исходник!O16)),"")</f>
        <v/>
      </c>
      <c r="Q22" s="9">
        <f>IFERROR(CHAR(HEX2DEC(Исходник!P16)),"")</f>
        <v/>
      </c>
      <c r="R22" s="9">
        <f>IFERROR(CHAR(HEX2DEC(Исходник!Q16)),"")</f>
        <v/>
      </c>
      <c r="S22" s="9">
        <f>IFERROR(CHAR(HEX2DEC(Исходник!R16)),"")</f>
        <v/>
      </c>
      <c r="T22" s="9">
        <f>IFERROR(CHAR(HEX2DEC(Исходник!S16)),"")</f>
        <v/>
      </c>
      <c r="U22" s="9">
        <f>IFERROR(CHAR(HEX2DEC(Исходник!T16)),"")</f>
        <v/>
      </c>
      <c r="V22" s="9">
        <f>IFERROR(CHAR(HEX2DEC(Исходник!U16)),"")</f>
        <v/>
      </c>
      <c r="W22" s="9">
        <f>IFERROR(CHAR(HEX2DEC(Исходник!V16)),"")</f>
        <v/>
      </c>
      <c r="X22" s="9">
        <f>IFERROR(CHAR(HEX2DEC(Исходник!W16)),"")</f>
        <v/>
      </c>
      <c r="Y22" s="9">
        <f>IFERROR(CHAR(HEX2DEC(Исходник!X16)),"")</f>
        <v/>
      </c>
      <c r="Z22" s="9">
        <f>IFERROR(CHAR(HEX2DEC(Исходник!Y16)),"")</f>
        <v/>
      </c>
      <c r="AA22" s="9">
        <f>IFERROR(CHAR(HEX2DEC(Исходник!Z16)),"")</f>
        <v/>
      </c>
      <c r="AB22" s="9">
        <f>IFERROR(CHAR(HEX2DEC(Исходник!AA16)),"")</f>
        <v/>
      </c>
      <c r="AC22" s="9">
        <f>IFERROR(CHAR(HEX2DEC(Исходник!AB16)),"")</f>
        <v/>
      </c>
      <c r="AD22" s="9">
        <f>IFERROR(CHAR(HEX2DEC(Исходник!AC16)),"")</f>
        <v/>
      </c>
      <c r="AE22" s="9">
        <f>IFERROR(CHAR(HEX2DEC(Исходник!AD16)),"")</f>
        <v/>
      </c>
      <c r="AF22" s="9">
        <f>IFERROR(CHAR(HEX2DEC(Исходник!AE16)),"")</f>
        <v/>
      </c>
      <c r="AG22" s="9">
        <f>IFERROR(CHAR(HEX2DEC(Исходник!AF16)),"")</f>
        <v/>
      </c>
      <c r="AH22" s="9">
        <f>IFERROR(CHAR(HEX2DEC(Исходник!AG16)),"")</f>
        <v/>
      </c>
      <c r="AI22" s="9">
        <f>IFERROR(CHAR(HEX2DEC(Исходник!AH16)),"")</f>
        <v/>
      </c>
      <c r="AJ22" s="9">
        <f>IFERROR(CHAR(HEX2DEC(Исходник!AI16)),"")</f>
        <v/>
      </c>
      <c r="AK22" s="107">
        <f>IFERROR(CHAR(HEX2DEC(Исходник!AJ16)),"")</f>
        <v/>
      </c>
    </row>
    <row r="23">
      <c r="C23" s="84">
        <f>Исходник!B17</f>
        <v/>
      </c>
      <c r="F23" s="9">
        <f>IFERROR(CHAR(HEX2DEC(Исходник!E17)),"")</f>
        <v/>
      </c>
      <c r="G23" s="9">
        <f>IFERROR(CHAR(HEX2DEC(Исходник!F17)),"")</f>
        <v/>
      </c>
      <c r="H23" s="9">
        <f>IFERROR(CHAR(HEX2DEC(Исходник!G17)),"")</f>
        <v/>
      </c>
      <c r="I23" s="9">
        <f>IFERROR(CHAR(HEX2DEC(Исходник!H17)),"")</f>
        <v/>
      </c>
      <c r="J23" s="9">
        <f>IFERROR(CHAR(HEX2DEC(Исходник!I17)),"")</f>
        <v/>
      </c>
      <c r="K23" s="9">
        <f>IFERROR(CHAR(HEX2DEC(Исходник!J17)),"")</f>
        <v/>
      </c>
      <c r="L23" s="9">
        <f>IFERROR(CHAR(HEX2DEC(Исходник!K17)),"")</f>
        <v/>
      </c>
      <c r="M23" s="9">
        <f>IFERROR(CHAR(HEX2DEC(Исходник!L17)),"")</f>
        <v/>
      </c>
      <c r="N23" s="9">
        <f>IFERROR(CHAR(HEX2DEC(Исходник!M17)),"")</f>
        <v/>
      </c>
      <c r="O23" s="9">
        <f>IFERROR(CHAR(HEX2DEC(Исходник!N17)),"")</f>
        <v/>
      </c>
      <c r="P23" s="9">
        <f>IFERROR(CHAR(HEX2DEC(Исходник!O17)),"")</f>
        <v/>
      </c>
      <c r="Q23" s="9">
        <f>IFERROR(CHAR(HEX2DEC(Исходник!P17)),"")</f>
        <v/>
      </c>
      <c r="R23" s="9">
        <f>IFERROR(CHAR(HEX2DEC(Исходник!Q17)),"")</f>
        <v/>
      </c>
      <c r="S23" s="9">
        <f>IFERROR(CHAR(HEX2DEC(Исходник!R17)),"")</f>
        <v/>
      </c>
      <c r="T23" s="9">
        <f>IFERROR(CHAR(HEX2DEC(Исходник!S17)),"")</f>
        <v/>
      </c>
      <c r="U23" s="9">
        <f>IFERROR(CHAR(HEX2DEC(Исходник!T17)),"")</f>
        <v/>
      </c>
      <c r="V23" s="9">
        <f>IFERROR(CHAR(HEX2DEC(Исходник!U17)),"")</f>
        <v/>
      </c>
      <c r="W23" s="9">
        <f>IFERROR(CHAR(HEX2DEC(Исходник!V17)),"")</f>
        <v/>
      </c>
      <c r="X23" s="9">
        <f>IFERROR(CHAR(HEX2DEC(Исходник!W17)),"")</f>
        <v/>
      </c>
      <c r="Y23" s="9">
        <f>IFERROR(CHAR(HEX2DEC(Исходник!X17)),"")</f>
        <v/>
      </c>
      <c r="Z23" s="9">
        <f>IFERROR(CHAR(HEX2DEC(Исходник!Y17)),"")</f>
        <v/>
      </c>
      <c r="AA23" s="9">
        <f>IFERROR(CHAR(HEX2DEC(Исходник!Z17)),"")</f>
        <v/>
      </c>
      <c r="AB23" s="9">
        <f>IFERROR(CHAR(HEX2DEC(Исходник!AA17)),"")</f>
        <v/>
      </c>
      <c r="AC23" s="9">
        <f>IFERROR(CHAR(HEX2DEC(Исходник!AB17)),"")</f>
        <v/>
      </c>
      <c r="AD23" s="9">
        <f>IFERROR(CHAR(HEX2DEC(Исходник!AC17)),"")</f>
        <v/>
      </c>
      <c r="AE23" s="9">
        <f>IFERROR(CHAR(HEX2DEC(Исходник!AD17)),"")</f>
        <v/>
      </c>
      <c r="AF23" s="9">
        <f>IFERROR(CHAR(HEX2DEC(Исходник!AE17)),"")</f>
        <v/>
      </c>
      <c r="AG23" s="9">
        <f>IFERROR(CHAR(HEX2DEC(Исходник!AF17)),"")</f>
        <v/>
      </c>
      <c r="AH23" s="9">
        <f>IFERROR(CHAR(HEX2DEC(Исходник!AG17)),"")</f>
        <v/>
      </c>
      <c r="AI23" s="9">
        <f>IFERROR(CHAR(HEX2DEC(Исходник!AH17)),"")</f>
        <v/>
      </c>
      <c r="AJ23" s="9">
        <f>IFERROR(CHAR(HEX2DEC(Исходник!AI17)),"")</f>
        <v/>
      </c>
      <c r="AK23" s="107">
        <f>IFERROR(CHAR(HEX2DEC(Исходник!AJ17)),"")</f>
        <v/>
      </c>
      <c r="AO23" s="15" t="inlineStr">
        <is>
          <t>FLIGHT PHASE</t>
        </is>
      </c>
    </row>
    <row r="24">
      <c r="C24" s="84">
        <f>Исходник!B18</f>
        <v/>
      </c>
      <c r="F24" s="9">
        <f>IFERROR(CHAR(HEX2DEC(Исходник!E18)),"")</f>
        <v/>
      </c>
      <c r="G24" s="9">
        <f>IFERROR(CHAR(HEX2DEC(Исходник!F18)),"")</f>
        <v/>
      </c>
      <c r="H24" s="9">
        <f>IFERROR(CHAR(HEX2DEC(Исходник!G18)),"")</f>
        <v/>
      </c>
      <c r="I24" s="9">
        <f>IFERROR(CHAR(HEX2DEC(Исходник!H18)),"")</f>
        <v/>
      </c>
      <c r="J24" s="9">
        <f>IFERROR(CHAR(HEX2DEC(Исходник!I18)),"")</f>
        <v/>
      </c>
      <c r="K24" s="9">
        <f>IFERROR(CHAR(HEX2DEC(Исходник!J18)),"")</f>
        <v/>
      </c>
      <c r="L24" s="9">
        <f>IFERROR(CHAR(HEX2DEC(Исходник!K18)),"")</f>
        <v/>
      </c>
      <c r="M24" s="9">
        <f>IFERROR(CHAR(HEX2DEC(Исходник!L18)),"")</f>
        <v/>
      </c>
      <c r="N24" s="9">
        <f>IFERROR(CHAR(HEX2DEC(Исходник!M18)),"")</f>
        <v/>
      </c>
      <c r="O24" s="9">
        <f>IFERROR(CHAR(HEX2DEC(Исходник!N18)),"")</f>
        <v/>
      </c>
      <c r="P24" s="9">
        <f>IFERROR(CHAR(HEX2DEC(Исходник!O18)),"")</f>
        <v/>
      </c>
      <c r="Q24" s="9">
        <f>IFERROR(CHAR(HEX2DEC(Исходник!P18)),"")</f>
        <v/>
      </c>
      <c r="R24" s="9">
        <f>IFERROR(CHAR(HEX2DEC(Исходник!Q18)),"")</f>
        <v/>
      </c>
      <c r="S24" s="9">
        <f>IFERROR(CHAR(HEX2DEC(Исходник!R18)),"")</f>
        <v/>
      </c>
      <c r="T24" s="9">
        <f>IFERROR(CHAR(HEX2DEC(Исходник!S18)),"")</f>
        <v/>
      </c>
      <c r="U24" s="9">
        <f>IFERROR(CHAR(HEX2DEC(Исходник!T18)),"")</f>
        <v/>
      </c>
      <c r="V24" s="9">
        <f>IFERROR(CHAR(HEX2DEC(Исходник!U18)),"")</f>
        <v/>
      </c>
      <c r="W24" s="9">
        <f>IFERROR(CHAR(HEX2DEC(Исходник!V18)),"")</f>
        <v/>
      </c>
      <c r="X24" s="9">
        <f>IFERROR(CHAR(HEX2DEC(Исходник!W18)),"")</f>
        <v/>
      </c>
      <c r="Y24" s="9">
        <f>IFERROR(CHAR(HEX2DEC(Исходник!X18)),"")</f>
        <v/>
      </c>
      <c r="Z24" s="9">
        <f>IFERROR(CHAR(HEX2DEC(Исходник!Y18)),"")</f>
        <v/>
      </c>
      <c r="AA24" s="9">
        <f>IFERROR(CHAR(HEX2DEC(Исходник!Z18)),"")</f>
        <v/>
      </c>
      <c r="AB24" s="9">
        <f>IFERROR(CHAR(HEX2DEC(Исходник!AA18)),"")</f>
        <v/>
      </c>
      <c r="AC24" s="9">
        <f>IFERROR(CHAR(HEX2DEC(Исходник!AB18)),"")</f>
        <v/>
      </c>
      <c r="AD24" s="9">
        <f>IFERROR(CHAR(HEX2DEC(Исходник!AC18)),"")</f>
        <v/>
      </c>
      <c r="AE24" s="9">
        <f>IFERROR(CHAR(HEX2DEC(Исходник!AD18)),"")</f>
        <v/>
      </c>
      <c r="AF24" s="9">
        <f>IFERROR(CHAR(HEX2DEC(Исходник!AE18)),"")</f>
        <v/>
      </c>
      <c r="AG24" s="9">
        <f>IFERROR(CHAR(HEX2DEC(Исходник!AF18)),"")</f>
        <v/>
      </c>
      <c r="AH24" s="9">
        <f>IFERROR(CHAR(HEX2DEC(Исходник!AG18)),"")</f>
        <v/>
      </c>
      <c r="AI24" s="9">
        <f>IFERROR(CHAR(HEX2DEC(Исходник!AH18)),"")</f>
        <v/>
      </c>
      <c r="AJ24" s="9">
        <f>IFERROR(CHAR(HEX2DEC(Исходник!AI18)),"")</f>
        <v/>
      </c>
      <c r="AK24" s="107">
        <f>IFERROR(CHAR(HEX2DEC(Исходник!AJ18)),"")</f>
        <v/>
      </c>
      <c r="AO24" t="n">
        <v>0</v>
      </c>
    </row>
    <row r="25">
      <c r="C25" s="84">
        <f>Исходник!B19</f>
        <v/>
      </c>
      <c r="F25" s="9">
        <f>IFERROR(CHAR(HEX2DEC(Исходник!E19)),"")</f>
        <v/>
      </c>
      <c r="G25" s="9">
        <f>IFERROR(CHAR(HEX2DEC(Исходник!F19)),"")</f>
        <v/>
      </c>
      <c r="H25" s="9">
        <f>IFERROR(CHAR(HEX2DEC(Исходник!G19)),"")</f>
        <v/>
      </c>
      <c r="I25" s="9">
        <f>IFERROR(CHAR(HEX2DEC(Исходник!H19)),"")</f>
        <v/>
      </c>
      <c r="J25" s="9">
        <f>IFERROR(CHAR(HEX2DEC(Исходник!I19)),"")</f>
        <v/>
      </c>
      <c r="K25" s="9">
        <f>IFERROR(CHAR(HEX2DEC(Исходник!J19)),"")</f>
        <v/>
      </c>
      <c r="L25" s="9">
        <f>IFERROR(CHAR(HEX2DEC(Исходник!K19)),"")</f>
        <v/>
      </c>
      <c r="M25" s="9">
        <f>IFERROR(CHAR(HEX2DEC(Исходник!L19)),"")</f>
        <v/>
      </c>
      <c r="N25" s="9">
        <f>IFERROR(CHAR(HEX2DEC(Исходник!M19)),"")</f>
        <v/>
      </c>
      <c r="O25" s="9">
        <f>IFERROR(CHAR(HEX2DEC(Исходник!N19)),"")</f>
        <v/>
      </c>
      <c r="P25" s="9">
        <f>IFERROR(CHAR(HEX2DEC(Исходник!O19)),"")</f>
        <v/>
      </c>
      <c r="Q25" s="9">
        <f>IFERROR(CHAR(HEX2DEC(Исходник!P19)),"")</f>
        <v/>
      </c>
      <c r="R25" s="9">
        <f>IFERROR(CHAR(HEX2DEC(Исходник!Q19)),"")</f>
        <v/>
      </c>
      <c r="S25" s="9">
        <f>IFERROR(CHAR(HEX2DEC(Исходник!R19)),"")</f>
        <v/>
      </c>
      <c r="T25" s="9">
        <f>IFERROR(CHAR(HEX2DEC(Исходник!S19)),"")</f>
        <v/>
      </c>
      <c r="U25" s="9">
        <f>IFERROR(CHAR(HEX2DEC(Исходник!T19)),"")</f>
        <v/>
      </c>
      <c r="V25" s="9">
        <f>IFERROR(CHAR(HEX2DEC(Исходник!U19)),"")</f>
        <v/>
      </c>
      <c r="W25" s="9">
        <f>IFERROR(CHAR(HEX2DEC(Исходник!V19)),"")</f>
        <v/>
      </c>
      <c r="X25" s="9">
        <f>IFERROR(CHAR(HEX2DEC(Исходник!W19)),"")</f>
        <v/>
      </c>
      <c r="Y25" s="9">
        <f>IFERROR(CHAR(HEX2DEC(Исходник!X19)),"")</f>
        <v/>
      </c>
      <c r="Z25" s="9">
        <f>IFERROR(CHAR(HEX2DEC(Исходник!Y19)),"")</f>
        <v/>
      </c>
      <c r="AA25" s="9">
        <f>IFERROR(CHAR(HEX2DEC(Исходник!Z19)),"")</f>
        <v/>
      </c>
      <c r="AB25" s="9">
        <f>IFERROR(CHAR(HEX2DEC(Исходник!AA19)),"")</f>
        <v/>
      </c>
      <c r="AC25" s="9">
        <f>IFERROR(CHAR(HEX2DEC(Исходник!AB19)),"")</f>
        <v/>
      </c>
      <c r="AD25" s="9">
        <f>IFERROR(CHAR(HEX2DEC(Исходник!AC19)),"")</f>
        <v/>
      </c>
      <c r="AE25" s="9">
        <f>IFERROR(CHAR(HEX2DEC(Исходник!AD19)),"")</f>
        <v/>
      </c>
      <c r="AF25" s="9">
        <f>IFERROR(CHAR(HEX2DEC(Исходник!AE19)),"")</f>
        <v/>
      </c>
      <c r="AG25" s="9">
        <f>IFERROR(CHAR(HEX2DEC(Исходник!AF19)),"")</f>
        <v/>
      </c>
      <c r="AH25" s="9">
        <f>IFERROR(CHAR(HEX2DEC(Исходник!AG19)),"")</f>
        <v/>
      </c>
      <c r="AI25" s="9">
        <f>IFERROR(CHAR(HEX2DEC(Исходник!AH19)),"")</f>
        <v/>
      </c>
      <c r="AJ25" s="9">
        <f>IFERROR(CHAR(HEX2DEC(Исходник!AI19)),"")</f>
        <v/>
      </c>
      <c r="AK25" s="107">
        <f>IFERROR(CHAR(HEX2DEC(Исходник!AJ19)),"")</f>
        <v/>
      </c>
      <c r="AO25" t="n">
        <v>1</v>
      </c>
      <c r="AP25" s="15" t="inlineStr">
        <is>
          <t>POWER UP</t>
        </is>
      </c>
    </row>
    <row r="26">
      <c r="C26" s="84">
        <f>Исходник!B20</f>
        <v/>
      </c>
      <c r="F26" s="9">
        <f>IFERROR(CHAR(HEX2DEC(Исходник!E20)),"")</f>
        <v/>
      </c>
      <c r="G26" s="9">
        <f>IFERROR(CHAR(HEX2DEC(Исходник!F20)),"")</f>
        <v/>
      </c>
      <c r="H26" s="9">
        <f>IFERROR(CHAR(HEX2DEC(Исходник!G20)),"")</f>
        <v/>
      </c>
      <c r="I26" s="9">
        <f>IFERROR(CHAR(HEX2DEC(Исходник!H20)),"")</f>
        <v/>
      </c>
      <c r="J26" s="9">
        <f>IFERROR(CHAR(HEX2DEC(Исходник!I20)),"")</f>
        <v/>
      </c>
      <c r="K26" s="9">
        <f>IFERROR(CHAR(HEX2DEC(Исходник!J20)),"")</f>
        <v/>
      </c>
      <c r="L26" s="9">
        <f>IFERROR(CHAR(HEX2DEC(Исходник!K20)),"")</f>
        <v/>
      </c>
      <c r="M26" s="9">
        <f>IFERROR(CHAR(HEX2DEC(Исходник!L20)),"")</f>
        <v/>
      </c>
      <c r="N26" s="9">
        <f>IFERROR(CHAR(HEX2DEC(Исходник!M20)),"")</f>
        <v/>
      </c>
      <c r="O26" s="9">
        <f>IFERROR(CHAR(HEX2DEC(Исходник!N20)),"")</f>
        <v/>
      </c>
      <c r="P26" s="9">
        <f>IFERROR(CHAR(HEX2DEC(Исходник!O20)),"")</f>
        <v/>
      </c>
      <c r="Q26" s="9">
        <f>IFERROR(CHAR(HEX2DEC(Исходник!P20)),"")</f>
        <v/>
      </c>
      <c r="R26" s="9">
        <f>IFERROR(CHAR(HEX2DEC(Исходник!Q20)),"")</f>
        <v/>
      </c>
      <c r="S26" s="9">
        <f>IFERROR(CHAR(HEX2DEC(Исходник!R20)),"")</f>
        <v/>
      </c>
      <c r="T26" s="9">
        <f>IFERROR(CHAR(HEX2DEC(Исходник!S20)),"")</f>
        <v/>
      </c>
      <c r="U26" s="9">
        <f>IFERROR(CHAR(HEX2DEC(Исходник!T20)),"")</f>
        <v/>
      </c>
      <c r="V26" s="9">
        <f>IFERROR(CHAR(HEX2DEC(Исходник!U20)),"")</f>
        <v/>
      </c>
      <c r="W26" s="9">
        <f>IFERROR(CHAR(HEX2DEC(Исходник!V20)),"")</f>
        <v/>
      </c>
      <c r="X26" s="9">
        <f>IFERROR(CHAR(HEX2DEC(Исходник!W20)),"")</f>
        <v/>
      </c>
      <c r="Y26" s="9">
        <f>IFERROR(CHAR(HEX2DEC(Исходник!X20)),"")</f>
        <v/>
      </c>
      <c r="Z26" s="9">
        <f>IFERROR(CHAR(HEX2DEC(Исходник!Y20)),"")</f>
        <v/>
      </c>
      <c r="AA26" s="9">
        <f>IFERROR(CHAR(HEX2DEC(Исходник!Z20)),"")</f>
        <v/>
      </c>
      <c r="AB26" s="9">
        <f>IFERROR(CHAR(HEX2DEC(Исходник!AA20)),"")</f>
        <v/>
      </c>
      <c r="AC26" s="9">
        <f>IFERROR(CHAR(HEX2DEC(Исходник!AB20)),"")</f>
        <v/>
      </c>
      <c r="AD26" s="9">
        <f>IFERROR(CHAR(HEX2DEC(Исходник!AC20)),"")</f>
        <v/>
      </c>
      <c r="AE26" s="9">
        <f>IFERROR(CHAR(HEX2DEC(Исходник!AD20)),"")</f>
        <v/>
      </c>
      <c r="AF26" s="9">
        <f>IFERROR(CHAR(HEX2DEC(Исходник!AE20)),"")</f>
        <v/>
      </c>
      <c r="AG26" s="9">
        <f>IFERROR(CHAR(HEX2DEC(Исходник!AF20)),"")</f>
        <v/>
      </c>
      <c r="AH26" s="9">
        <f>IFERROR(CHAR(HEX2DEC(Исходник!AG20)),"")</f>
        <v/>
      </c>
      <c r="AI26" s="9">
        <f>IFERROR(CHAR(HEX2DEC(Исходник!AH20)),"")</f>
        <v/>
      </c>
      <c r="AJ26" s="9">
        <f>IFERROR(CHAR(HEX2DEC(Исходник!AI20)),"")</f>
        <v/>
      </c>
      <c r="AK26" s="107">
        <f>IFERROR(CHAR(HEX2DEC(Исходник!AJ20)),"")</f>
        <v/>
      </c>
      <c r="AO26" t="n">
        <v>2</v>
      </c>
      <c r="AP26" s="15" t="inlineStr">
        <is>
          <t>1ST ENG START</t>
        </is>
      </c>
    </row>
    <row r="27">
      <c r="C27" s="84">
        <f>Исходник!B21</f>
        <v/>
      </c>
      <c r="F27" s="9">
        <f>IFERROR(CHAR(HEX2DEC(Исходник!E21)),"")</f>
        <v/>
      </c>
      <c r="G27" s="9">
        <f>IFERROR(CHAR(HEX2DEC(Исходник!F21)),"")</f>
        <v/>
      </c>
      <c r="H27" s="9">
        <f>IFERROR(CHAR(HEX2DEC(Исходник!G21)),"")</f>
        <v/>
      </c>
      <c r="I27" s="9">
        <f>IFERROR(CHAR(HEX2DEC(Исходник!H21)),"")</f>
        <v/>
      </c>
      <c r="J27" s="9">
        <f>IFERROR(CHAR(HEX2DEC(Исходник!I21)),"")</f>
        <v/>
      </c>
      <c r="K27" s="9">
        <f>IFERROR(CHAR(HEX2DEC(Исходник!J21)),"")</f>
        <v/>
      </c>
      <c r="L27" s="9">
        <f>IFERROR(CHAR(HEX2DEC(Исходник!K21)),"")</f>
        <v/>
      </c>
      <c r="M27" s="9">
        <f>IFERROR(CHAR(HEX2DEC(Исходник!L21)),"")</f>
        <v/>
      </c>
      <c r="N27" s="9">
        <f>IFERROR(CHAR(HEX2DEC(Исходник!M21)),"")</f>
        <v/>
      </c>
      <c r="O27" s="9">
        <f>IFERROR(CHAR(HEX2DEC(Исходник!N21)),"")</f>
        <v/>
      </c>
      <c r="P27" s="9">
        <f>IFERROR(CHAR(HEX2DEC(Исходник!O21)),"")</f>
        <v/>
      </c>
      <c r="Q27" s="9">
        <f>IFERROR(CHAR(HEX2DEC(Исходник!P21)),"")</f>
        <v/>
      </c>
      <c r="R27" s="9">
        <f>IFERROR(CHAR(HEX2DEC(Исходник!Q21)),"")</f>
        <v/>
      </c>
      <c r="S27" s="9">
        <f>IFERROR(CHAR(HEX2DEC(Исходник!R21)),"")</f>
        <v/>
      </c>
      <c r="T27" s="9">
        <f>IFERROR(CHAR(HEX2DEC(Исходник!S21)),"")</f>
        <v/>
      </c>
      <c r="U27" s="9">
        <f>IFERROR(CHAR(HEX2DEC(Исходник!T21)),"")</f>
        <v/>
      </c>
      <c r="V27" s="9">
        <f>IFERROR(CHAR(HEX2DEC(Исходник!U21)),"")</f>
        <v/>
      </c>
      <c r="W27" s="9">
        <f>IFERROR(CHAR(HEX2DEC(Исходник!V21)),"")</f>
        <v/>
      </c>
      <c r="X27" s="9">
        <f>IFERROR(CHAR(HEX2DEC(Исходник!W21)),"")</f>
        <v/>
      </c>
      <c r="Y27" s="9">
        <f>IFERROR(CHAR(HEX2DEC(Исходник!X21)),"")</f>
        <v/>
      </c>
      <c r="Z27" s="9">
        <f>IFERROR(CHAR(HEX2DEC(Исходник!Y21)),"")</f>
        <v/>
      </c>
      <c r="AA27" s="9">
        <f>IFERROR(CHAR(HEX2DEC(Исходник!Z21)),"")</f>
        <v/>
      </c>
      <c r="AB27" s="9">
        <f>IFERROR(CHAR(HEX2DEC(Исходник!AA21)),"")</f>
        <v/>
      </c>
      <c r="AC27" s="9">
        <f>IFERROR(CHAR(HEX2DEC(Исходник!AB21)),"")</f>
        <v/>
      </c>
      <c r="AD27" s="9">
        <f>IFERROR(CHAR(HEX2DEC(Исходник!AC21)),"")</f>
        <v/>
      </c>
      <c r="AE27" s="9">
        <f>IFERROR(CHAR(HEX2DEC(Исходник!AD21)),"")</f>
        <v/>
      </c>
      <c r="AF27" s="9">
        <f>IFERROR(CHAR(HEX2DEC(Исходник!AE21)),"")</f>
        <v/>
      </c>
      <c r="AG27" s="9">
        <f>IFERROR(CHAR(HEX2DEC(Исходник!AF21)),"")</f>
        <v/>
      </c>
      <c r="AH27" s="9">
        <f>IFERROR(CHAR(HEX2DEC(Исходник!AG21)),"")</f>
        <v/>
      </c>
      <c r="AI27" s="9">
        <f>IFERROR(CHAR(HEX2DEC(Исходник!AH21)),"")</f>
        <v/>
      </c>
      <c r="AJ27" s="9">
        <f>IFERROR(CHAR(HEX2DEC(Исходник!AI21)),"")</f>
        <v/>
      </c>
      <c r="AK27" s="107">
        <f>IFERROR(CHAR(HEX2DEC(Исходник!AJ21)),"")</f>
        <v/>
      </c>
      <c r="AO27" t="n">
        <v>3</v>
      </c>
      <c r="AP27" s="15" t="inlineStr">
        <is>
          <t>1ST ENG TAKEOFF POWER</t>
        </is>
      </c>
    </row>
    <row r="28">
      <c r="C28" s="84">
        <f>Исходник!B22</f>
        <v/>
      </c>
      <c r="F28" s="9">
        <f>IFERROR(CHAR(HEX2DEC(Исходник!E22)),"")</f>
        <v/>
      </c>
      <c r="G28" s="9">
        <f>IFERROR(CHAR(HEX2DEC(Исходник!F22)),"")</f>
        <v/>
      </c>
      <c r="H28" s="9">
        <f>IFERROR(CHAR(HEX2DEC(Исходник!G22)),"")</f>
        <v/>
      </c>
      <c r="I28" s="9">
        <f>IFERROR(CHAR(HEX2DEC(Исходник!H22)),"")</f>
        <v/>
      </c>
      <c r="J28" s="9">
        <f>IFERROR(CHAR(HEX2DEC(Исходник!I22)),"")</f>
        <v/>
      </c>
      <c r="K28" s="9">
        <f>IFERROR(CHAR(HEX2DEC(Исходник!J22)),"")</f>
        <v/>
      </c>
      <c r="L28" s="9">
        <f>IFERROR(CHAR(HEX2DEC(Исходник!K22)),"")</f>
        <v/>
      </c>
      <c r="M28" s="9">
        <f>IFERROR(CHAR(HEX2DEC(Исходник!L22)),"")</f>
        <v/>
      </c>
      <c r="N28" s="9">
        <f>IFERROR(CHAR(HEX2DEC(Исходник!M22)),"")</f>
        <v/>
      </c>
      <c r="O28" s="9">
        <f>IFERROR(CHAR(HEX2DEC(Исходник!N22)),"")</f>
        <v/>
      </c>
      <c r="P28" s="9">
        <f>IFERROR(CHAR(HEX2DEC(Исходник!O22)),"")</f>
        <v/>
      </c>
      <c r="Q28" s="9">
        <f>IFERROR(CHAR(HEX2DEC(Исходник!P22)),"")</f>
        <v/>
      </c>
      <c r="R28" s="9">
        <f>IFERROR(CHAR(HEX2DEC(Исходник!Q22)),"")</f>
        <v/>
      </c>
      <c r="S28" s="9">
        <f>IFERROR(CHAR(HEX2DEC(Исходник!R22)),"")</f>
        <v/>
      </c>
      <c r="T28" s="9">
        <f>IFERROR(CHAR(HEX2DEC(Исходник!S22)),"")</f>
        <v/>
      </c>
      <c r="U28" s="9">
        <f>IFERROR(CHAR(HEX2DEC(Исходник!T22)),"")</f>
        <v/>
      </c>
      <c r="V28" s="9">
        <f>IFERROR(CHAR(HEX2DEC(Исходник!U22)),"")</f>
        <v/>
      </c>
      <c r="W28" s="9">
        <f>IFERROR(CHAR(HEX2DEC(Исходник!V22)),"")</f>
        <v/>
      </c>
      <c r="X28" s="9">
        <f>IFERROR(CHAR(HEX2DEC(Исходник!W22)),"")</f>
        <v/>
      </c>
      <c r="Y28" s="9">
        <f>IFERROR(CHAR(HEX2DEC(Исходник!X22)),"")</f>
        <v/>
      </c>
      <c r="Z28" s="9">
        <f>IFERROR(CHAR(HEX2DEC(Исходник!Y22)),"")</f>
        <v/>
      </c>
      <c r="AA28" s="9">
        <f>IFERROR(CHAR(HEX2DEC(Исходник!Z22)),"")</f>
        <v/>
      </c>
      <c r="AB28" s="9">
        <f>IFERROR(CHAR(HEX2DEC(Исходник!AA22)),"")</f>
        <v/>
      </c>
      <c r="AC28" s="9">
        <f>IFERROR(CHAR(HEX2DEC(Исходник!AB22)),"")</f>
        <v/>
      </c>
      <c r="AD28" s="9">
        <f>IFERROR(CHAR(HEX2DEC(Исходник!AC22)),"")</f>
        <v/>
      </c>
      <c r="AE28" s="9">
        <f>IFERROR(CHAR(HEX2DEC(Исходник!AD22)),"")</f>
        <v/>
      </c>
      <c r="AF28" s="9">
        <f>IFERROR(CHAR(HEX2DEC(Исходник!AE22)),"")</f>
        <v/>
      </c>
      <c r="AG28" s="9">
        <f>IFERROR(CHAR(HEX2DEC(Исходник!AF22)),"")</f>
        <v/>
      </c>
      <c r="AH28" s="9">
        <f>IFERROR(CHAR(HEX2DEC(Исходник!AG22)),"")</f>
        <v/>
      </c>
      <c r="AI28" s="9">
        <f>IFERROR(CHAR(HEX2DEC(Исходник!AH22)),"")</f>
        <v/>
      </c>
      <c r="AJ28" s="9">
        <f>IFERROR(CHAR(HEX2DEC(Исходник!AI22)),"")</f>
        <v/>
      </c>
      <c r="AK28" s="107">
        <f>IFERROR(CHAR(HEX2DEC(Исходник!AJ22)),"")</f>
        <v/>
      </c>
      <c r="AO28" t="n">
        <v>4</v>
      </c>
      <c r="AP28" s="15" t="inlineStr">
        <is>
          <t>OVER KNOTS LIM</t>
        </is>
      </c>
    </row>
    <row r="29">
      <c r="C29" s="84">
        <f>Исходник!B23</f>
        <v/>
      </c>
      <c r="F29" s="9">
        <f>IFERROR(CHAR(HEX2DEC(Исходник!E23)),"")</f>
        <v/>
      </c>
      <c r="G29" s="9">
        <f>IFERROR(CHAR(HEX2DEC(Исходник!F23)),"")</f>
        <v/>
      </c>
      <c r="H29" s="9">
        <f>IFERROR(CHAR(HEX2DEC(Исходник!G23)),"")</f>
        <v/>
      </c>
      <c r="I29" s="9">
        <f>IFERROR(CHAR(HEX2DEC(Исходник!H23)),"")</f>
        <v/>
      </c>
      <c r="J29" s="9">
        <f>IFERROR(CHAR(HEX2DEC(Исходник!I23)),"")</f>
        <v/>
      </c>
      <c r="K29" s="9">
        <f>IFERROR(CHAR(HEX2DEC(Исходник!J23)),"")</f>
        <v/>
      </c>
      <c r="L29" s="9">
        <f>IFERROR(CHAR(HEX2DEC(Исходник!K23)),"")</f>
        <v/>
      </c>
      <c r="M29" s="9">
        <f>IFERROR(CHAR(HEX2DEC(Исходник!L23)),"")</f>
        <v/>
      </c>
      <c r="N29" s="9">
        <f>IFERROR(CHAR(HEX2DEC(Исходник!M23)),"")</f>
        <v/>
      </c>
      <c r="O29" s="9">
        <f>IFERROR(CHAR(HEX2DEC(Исходник!N23)),"")</f>
        <v/>
      </c>
      <c r="P29" s="9">
        <f>IFERROR(CHAR(HEX2DEC(Исходник!O23)),"")</f>
        <v/>
      </c>
      <c r="Q29" s="9">
        <f>IFERROR(CHAR(HEX2DEC(Исходник!P23)),"")</f>
        <v/>
      </c>
      <c r="R29" s="9">
        <f>IFERROR(CHAR(HEX2DEC(Исходник!Q23)),"")</f>
        <v/>
      </c>
      <c r="S29" s="9">
        <f>IFERROR(CHAR(HEX2DEC(Исходник!R23)),"")</f>
        <v/>
      </c>
      <c r="T29" s="9">
        <f>IFERROR(CHAR(HEX2DEC(Исходник!S23)),"")</f>
        <v/>
      </c>
      <c r="U29" s="9">
        <f>IFERROR(CHAR(HEX2DEC(Исходник!T23)),"")</f>
        <v/>
      </c>
      <c r="V29" s="9">
        <f>IFERROR(CHAR(HEX2DEC(Исходник!U23)),"")</f>
        <v/>
      </c>
      <c r="W29" s="9">
        <f>IFERROR(CHAR(HEX2DEC(Исходник!V23)),"")</f>
        <v/>
      </c>
      <c r="X29" s="9">
        <f>IFERROR(CHAR(HEX2DEC(Исходник!W23)),"")</f>
        <v/>
      </c>
      <c r="Y29" s="9">
        <f>IFERROR(CHAR(HEX2DEC(Исходник!X23)),"")</f>
        <v/>
      </c>
      <c r="Z29" s="9">
        <f>IFERROR(CHAR(HEX2DEC(Исходник!Y23)),"")</f>
        <v/>
      </c>
      <c r="AA29" s="9">
        <f>IFERROR(CHAR(HEX2DEC(Исходник!Z23)),"")</f>
        <v/>
      </c>
      <c r="AB29" s="9">
        <f>IFERROR(CHAR(HEX2DEC(Исходник!AA23)),"")</f>
        <v/>
      </c>
      <c r="AC29" s="9">
        <f>IFERROR(CHAR(HEX2DEC(Исходник!AB23)),"")</f>
        <v/>
      </c>
      <c r="AD29" s="9">
        <f>IFERROR(CHAR(HEX2DEC(Исходник!AC23)),"")</f>
        <v/>
      </c>
      <c r="AE29" s="9">
        <f>IFERROR(CHAR(HEX2DEC(Исходник!AD23)),"")</f>
        <v/>
      </c>
      <c r="AF29" s="9">
        <f>IFERROR(CHAR(HEX2DEC(Исходник!AE23)),"")</f>
        <v/>
      </c>
      <c r="AG29" s="9">
        <f>IFERROR(CHAR(HEX2DEC(Исходник!AF23)),"")</f>
        <v/>
      </c>
      <c r="AH29" s="9">
        <f>IFERROR(CHAR(HEX2DEC(Исходник!AG23)),"")</f>
        <v/>
      </c>
      <c r="AI29" s="9">
        <f>IFERROR(CHAR(HEX2DEC(Исходник!AH23)),"")</f>
        <v/>
      </c>
      <c r="AJ29" s="9">
        <f>IFERROR(CHAR(HEX2DEC(Исходник!AI23)),"")</f>
        <v/>
      </c>
      <c r="AK29" s="107">
        <f>IFERROR(CHAR(HEX2DEC(Исходник!AJ23)),"")</f>
        <v/>
      </c>
      <c r="AO29" t="n">
        <v>5</v>
      </c>
      <c r="AP29" s="15" t="inlineStr">
        <is>
          <t>LIFT OFF</t>
        </is>
      </c>
    </row>
    <row r="30">
      <c r="C30" s="84">
        <f>Исходник!B24</f>
        <v/>
      </c>
      <c r="F30" s="9">
        <f>IFERROR(CHAR(HEX2DEC(Исходник!E24)),"")</f>
        <v/>
      </c>
      <c r="G30" s="9">
        <f>IFERROR(CHAR(HEX2DEC(Исходник!F24)),"")</f>
        <v/>
      </c>
      <c r="H30" s="9">
        <f>IFERROR(CHAR(HEX2DEC(Исходник!G24)),"")</f>
        <v/>
      </c>
      <c r="I30" s="9">
        <f>IFERROR(CHAR(HEX2DEC(Исходник!H24)),"")</f>
        <v/>
      </c>
      <c r="J30" s="9">
        <f>IFERROR(CHAR(HEX2DEC(Исходник!I24)),"")</f>
        <v/>
      </c>
      <c r="K30" s="9">
        <f>IFERROR(CHAR(HEX2DEC(Исходник!J24)),"")</f>
        <v/>
      </c>
      <c r="L30" s="9">
        <f>IFERROR(CHAR(HEX2DEC(Исходник!K24)),"")</f>
        <v/>
      </c>
      <c r="M30" s="9">
        <f>IFERROR(CHAR(HEX2DEC(Исходник!L24)),"")</f>
        <v/>
      </c>
      <c r="N30" s="9">
        <f>IFERROR(CHAR(HEX2DEC(Исходник!M24)),"")</f>
        <v/>
      </c>
      <c r="O30" s="9">
        <f>IFERROR(CHAR(HEX2DEC(Исходник!N24)),"")</f>
        <v/>
      </c>
      <c r="P30" s="9">
        <f>IFERROR(CHAR(HEX2DEC(Исходник!O24)),"")</f>
        <v/>
      </c>
      <c r="Q30" s="9">
        <f>IFERROR(CHAR(HEX2DEC(Исходник!P24)),"")</f>
        <v/>
      </c>
      <c r="R30" s="9">
        <f>IFERROR(CHAR(HEX2DEC(Исходник!Q24)),"")</f>
        <v/>
      </c>
      <c r="S30" s="9">
        <f>IFERROR(CHAR(HEX2DEC(Исходник!R24)),"")</f>
        <v/>
      </c>
      <c r="T30" s="9">
        <f>IFERROR(CHAR(HEX2DEC(Исходник!S24)),"")</f>
        <v/>
      </c>
      <c r="U30" s="9">
        <f>IFERROR(CHAR(HEX2DEC(Исходник!T24)),"")</f>
        <v/>
      </c>
      <c r="V30" s="9">
        <f>IFERROR(CHAR(HEX2DEC(Исходник!U24)),"")</f>
        <v/>
      </c>
      <c r="W30" s="9">
        <f>IFERROR(CHAR(HEX2DEC(Исходник!V24)),"")</f>
        <v/>
      </c>
      <c r="X30" s="9">
        <f>IFERROR(CHAR(HEX2DEC(Исходник!W24)),"")</f>
        <v/>
      </c>
      <c r="Y30" s="9">
        <f>IFERROR(CHAR(HEX2DEC(Исходник!X24)),"")</f>
        <v/>
      </c>
      <c r="Z30" s="9">
        <f>IFERROR(CHAR(HEX2DEC(Исходник!Y24)),"")</f>
        <v/>
      </c>
      <c r="AA30" s="9">
        <f>IFERROR(CHAR(HEX2DEC(Исходник!Z24)),"")</f>
        <v/>
      </c>
      <c r="AB30" s="9">
        <f>IFERROR(CHAR(HEX2DEC(Исходник!AA24)),"")</f>
        <v/>
      </c>
      <c r="AC30" s="9">
        <f>IFERROR(CHAR(HEX2DEC(Исходник!AB24)),"")</f>
        <v/>
      </c>
      <c r="AD30" s="9">
        <f>IFERROR(CHAR(HEX2DEC(Исходник!AC24)),"")</f>
        <v/>
      </c>
      <c r="AE30" s="9">
        <f>IFERROR(CHAR(HEX2DEC(Исходник!AD24)),"")</f>
        <v/>
      </c>
      <c r="AF30" s="9">
        <f>IFERROR(CHAR(HEX2DEC(Исходник!AE24)),"")</f>
        <v/>
      </c>
      <c r="AG30" s="9">
        <f>IFERROR(CHAR(HEX2DEC(Исходник!AF24)),"")</f>
        <v/>
      </c>
      <c r="AH30" s="9">
        <f>IFERROR(CHAR(HEX2DEC(Исходник!AG24)),"")</f>
        <v/>
      </c>
      <c r="AI30" s="9">
        <f>IFERROR(CHAR(HEX2DEC(Исходник!AH24)),"")</f>
        <v/>
      </c>
      <c r="AJ30" s="9">
        <f>IFERROR(CHAR(HEX2DEC(Исходник!AI24)),"")</f>
        <v/>
      </c>
      <c r="AK30" s="107">
        <f>IFERROR(CHAR(HEX2DEC(Исходник!AJ24)),"")</f>
        <v/>
      </c>
      <c r="AO30" t="n">
        <v>6</v>
      </c>
      <c r="AP30" s="15" t="inlineStr">
        <is>
          <t>CLIMB FEET</t>
        </is>
      </c>
    </row>
    <row r="31">
      <c r="C31" s="84">
        <f>Исходник!B25</f>
        <v/>
      </c>
      <c r="F31" s="9">
        <f>IFERROR(CHAR(HEX2DEC(Исходник!E25)),"")</f>
        <v/>
      </c>
      <c r="G31" s="9">
        <f>IFERROR(CHAR(HEX2DEC(Исходник!F25)),"")</f>
        <v/>
      </c>
      <c r="H31" s="9">
        <f>IFERROR(CHAR(HEX2DEC(Исходник!G25)),"")</f>
        <v/>
      </c>
      <c r="I31" s="9">
        <f>IFERROR(CHAR(HEX2DEC(Исходник!H25)),"")</f>
        <v/>
      </c>
      <c r="J31" s="9">
        <f>IFERROR(CHAR(HEX2DEC(Исходник!I25)),"")</f>
        <v/>
      </c>
      <c r="K31" s="9">
        <f>IFERROR(CHAR(HEX2DEC(Исходник!J25)),"")</f>
        <v/>
      </c>
      <c r="L31" s="9">
        <f>IFERROR(CHAR(HEX2DEC(Исходник!K25)),"")</f>
        <v/>
      </c>
      <c r="M31" s="9">
        <f>IFERROR(CHAR(HEX2DEC(Исходник!L25)),"")</f>
        <v/>
      </c>
      <c r="N31" s="9">
        <f>IFERROR(CHAR(HEX2DEC(Исходник!M25)),"")</f>
        <v/>
      </c>
      <c r="O31" s="9">
        <f>IFERROR(CHAR(HEX2DEC(Исходник!N25)),"")</f>
        <v/>
      </c>
      <c r="P31" s="9">
        <f>IFERROR(CHAR(HEX2DEC(Исходник!O25)),"")</f>
        <v/>
      </c>
      <c r="Q31" s="9">
        <f>IFERROR(CHAR(HEX2DEC(Исходник!P25)),"")</f>
        <v/>
      </c>
      <c r="R31" s="9">
        <f>IFERROR(CHAR(HEX2DEC(Исходник!Q25)),"")</f>
        <v/>
      </c>
      <c r="S31" s="9">
        <f>IFERROR(CHAR(HEX2DEC(Исходник!R25)),"")</f>
        <v/>
      </c>
      <c r="T31" s="9">
        <f>IFERROR(CHAR(HEX2DEC(Исходник!S25)),"")</f>
        <v/>
      </c>
      <c r="U31" s="9">
        <f>IFERROR(CHAR(HEX2DEC(Исходник!T25)),"")</f>
        <v/>
      </c>
      <c r="V31" s="9">
        <f>IFERROR(CHAR(HEX2DEC(Исходник!U25)),"")</f>
        <v/>
      </c>
      <c r="W31" s="9">
        <f>IFERROR(CHAR(HEX2DEC(Исходник!V25)),"")</f>
        <v/>
      </c>
      <c r="X31" s="9">
        <f>IFERROR(CHAR(HEX2DEC(Исходник!W25)),"")</f>
        <v/>
      </c>
      <c r="Y31" s="9">
        <f>IFERROR(CHAR(HEX2DEC(Исходник!X25)),"")</f>
        <v/>
      </c>
      <c r="Z31" s="9">
        <f>IFERROR(CHAR(HEX2DEC(Исходник!Y25)),"")</f>
        <v/>
      </c>
      <c r="AA31" s="9">
        <f>IFERROR(CHAR(HEX2DEC(Исходник!Z25)),"")</f>
        <v/>
      </c>
      <c r="AB31" s="9">
        <f>IFERROR(CHAR(HEX2DEC(Исходник!AA25)),"")</f>
        <v/>
      </c>
      <c r="AC31" s="9">
        <f>IFERROR(CHAR(HEX2DEC(Исходник!AB25)),"")</f>
        <v/>
      </c>
      <c r="AD31" s="9">
        <f>IFERROR(CHAR(HEX2DEC(Исходник!AC25)),"")</f>
        <v/>
      </c>
      <c r="AE31" s="9">
        <f>IFERROR(CHAR(HEX2DEC(Исходник!AD25)),"")</f>
        <v/>
      </c>
      <c r="AF31" s="9">
        <f>IFERROR(CHAR(HEX2DEC(Исходник!AE25)),"")</f>
        <v/>
      </c>
      <c r="AG31" s="9">
        <f>IFERROR(CHAR(HEX2DEC(Исходник!AF25)),"")</f>
        <v/>
      </c>
      <c r="AH31" s="9">
        <f>IFERROR(CHAR(HEX2DEC(Исходник!AG25)),"")</f>
        <v/>
      </c>
      <c r="AI31" s="9">
        <f>IFERROR(CHAR(HEX2DEC(Исходник!AH25)),"")</f>
        <v/>
      </c>
      <c r="AJ31" s="9">
        <f>IFERROR(CHAR(HEX2DEC(Исходник!AI25)),"")</f>
        <v/>
      </c>
      <c r="AK31" s="107">
        <f>IFERROR(CHAR(HEX2DEC(Исходник!AJ25)),"")</f>
        <v/>
      </c>
      <c r="AO31" t="n">
        <v>7</v>
      </c>
      <c r="AP31" s="15" t="inlineStr">
        <is>
          <t>DESCENT FEET</t>
        </is>
      </c>
    </row>
    <row r="32">
      <c r="C32" s="84">
        <f>Исходник!B26</f>
        <v/>
      </c>
      <c r="F32" s="9">
        <f>RIGHT(Исходник!E26,2)</f>
        <v/>
      </c>
      <c r="G32" s="9">
        <f>RIGHT(Исходник!F26,2)</f>
        <v/>
      </c>
      <c r="H32" s="9">
        <f>RIGHT(Исходник!G26,2)</f>
        <v/>
      </c>
      <c r="I32" s="9">
        <f>RIGHT(Исходник!H26,2)</f>
        <v/>
      </c>
      <c r="J32" s="9">
        <f>RIGHT(Исходник!I26,2)</f>
        <v/>
      </c>
      <c r="K32" s="9">
        <f>RIGHT(Исходник!J26,2)</f>
        <v/>
      </c>
      <c r="L32" s="9">
        <f>RIGHT(Исходник!K26,2)</f>
        <v/>
      </c>
      <c r="M32" s="9">
        <f>RIGHT(Исходник!L26,2)</f>
        <v/>
      </c>
      <c r="N32" s="9">
        <f>RIGHT(Исходник!M26,2)</f>
        <v/>
      </c>
      <c r="O32" s="9">
        <f>RIGHT(Исходник!N26,2)</f>
        <v/>
      </c>
      <c r="P32" s="9">
        <f>RIGHT(Исходник!O26,2)</f>
        <v/>
      </c>
      <c r="Q32" s="9">
        <f>RIGHT(Исходник!P26,2)</f>
        <v/>
      </c>
      <c r="R32" s="9">
        <f>RIGHT(Исходник!Q26,2)</f>
        <v/>
      </c>
      <c r="S32" s="9">
        <f>RIGHT(Исходник!R26,2)</f>
        <v/>
      </c>
      <c r="T32" s="9">
        <f>RIGHT(Исходник!S26,2)</f>
        <v/>
      </c>
      <c r="U32" s="9">
        <f>RIGHT(Исходник!T26,2)</f>
        <v/>
      </c>
      <c r="V32" s="9">
        <f>RIGHT(Исходник!U26,2)</f>
        <v/>
      </c>
      <c r="W32" s="9">
        <f>RIGHT(Исходник!V26,2)</f>
        <v/>
      </c>
      <c r="X32" s="9">
        <f>RIGHT(Исходник!W26,2)</f>
        <v/>
      </c>
      <c r="Y32" s="9">
        <f>RIGHT(Исходник!X26,2)</f>
        <v/>
      </c>
      <c r="Z32" s="9">
        <f>RIGHT(Исходник!Y26,2)</f>
        <v/>
      </c>
      <c r="AA32" s="9">
        <f>RIGHT(Исходник!Z26,2)</f>
        <v/>
      </c>
      <c r="AB32" s="9">
        <f>RIGHT(Исходник!AA26,2)</f>
        <v/>
      </c>
      <c r="AC32" s="9">
        <f>RIGHT(Исходник!AB26,2)</f>
        <v/>
      </c>
      <c r="AD32" s="9">
        <f>RIGHT(Исходник!AC26,2)</f>
        <v/>
      </c>
      <c r="AE32" s="9">
        <f>RIGHT(Исходник!AD26,2)</f>
        <v/>
      </c>
      <c r="AF32" s="9">
        <f>RIGHT(Исходник!AE26,2)</f>
        <v/>
      </c>
      <c r="AG32" s="9">
        <f>RIGHT(Исходник!AF26,2)</f>
        <v/>
      </c>
      <c r="AH32" s="9">
        <f>RIGHT(Исходник!AG26,2)</f>
        <v/>
      </c>
      <c r="AI32" s="9">
        <f>RIGHT(Исходник!AH26,2)</f>
        <v/>
      </c>
      <c r="AJ32" s="9">
        <f>RIGHT(Исходник!AI26,2)</f>
        <v/>
      </c>
      <c r="AK32" s="107">
        <f>RIGHT(Исходник!AJ26,2)</f>
        <v/>
      </c>
      <c r="AO32" t="n">
        <v>8</v>
      </c>
      <c r="AP32" s="15" t="inlineStr">
        <is>
          <t>TOUCH DOWN</t>
        </is>
      </c>
    </row>
    <row r="33">
      <c r="C33" s="84">
        <f>Исходник!B27</f>
        <v/>
      </c>
      <c r="F33" s="11">
        <f>VALUE(RIGHT(Исходник!E27))*10</f>
        <v/>
      </c>
      <c r="G33" s="11">
        <f>VALUE(RIGHT(Исходник!F27))*10</f>
        <v/>
      </c>
      <c r="H33" s="11">
        <f>VALUE(RIGHT(Исходник!G27))*10</f>
        <v/>
      </c>
      <c r="I33" s="11">
        <f>VALUE(RIGHT(Исходник!H27))*10</f>
        <v/>
      </c>
      <c r="J33" s="11">
        <f>VALUE(RIGHT(Исходник!I27))*10</f>
        <v/>
      </c>
      <c r="K33" s="11">
        <f>VALUE(RIGHT(Исходник!J27))*10</f>
        <v/>
      </c>
      <c r="L33" s="11">
        <f>VALUE(RIGHT(Исходник!K27))*10</f>
        <v/>
      </c>
      <c r="M33" s="11">
        <f>VALUE(RIGHT(Исходник!L27))*10</f>
        <v/>
      </c>
      <c r="N33" s="11">
        <f>VALUE(RIGHT(Исходник!M27))*10</f>
        <v/>
      </c>
      <c r="O33" s="11">
        <f>VALUE(RIGHT(Исходник!N27))*10</f>
        <v/>
      </c>
      <c r="P33" s="11">
        <f>VALUE(RIGHT(Исходник!O27))*10</f>
        <v/>
      </c>
      <c r="Q33" s="11">
        <f>VALUE(RIGHT(Исходник!P27))*10</f>
        <v/>
      </c>
      <c r="R33" s="11">
        <f>VALUE(RIGHT(Исходник!Q27))*10</f>
        <v/>
      </c>
      <c r="S33" s="11">
        <f>VALUE(RIGHT(Исходник!R27))*10</f>
        <v/>
      </c>
      <c r="T33" s="11">
        <f>VALUE(RIGHT(Исходник!S27))*10</f>
        <v/>
      </c>
      <c r="U33" s="11">
        <f>VALUE(RIGHT(Исходник!T27))*10</f>
        <v/>
      </c>
      <c r="V33" s="11">
        <f>VALUE(RIGHT(Исходник!U27))*10</f>
        <v/>
      </c>
      <c r="W33" s="11">
        <f>VALUE(RIGHT(Исходник!V27))*10</f>
        <v/>
      </c>
      <c r="X33" s="11">
        <f>VALUE(RIGHT(Исходник!W27))*10</f>
        <v/>
      </c>
      <c r="Y33" s="11">
        <f>VALUE(RIGHT(Исходник!X27))*10</f>
        <v/>
      </c>
      <c r="Z33" s="11">
        <f>VALUE(RIGHT(Исходник!Y27))*10</f>
        <v/>
      </c>
      <c r="AA33" s="11">
        <f>VALUE(RIGHT(Исходник!Z27))*10</f>
        <v/>
      </c>
      <c r="AB33" s="11">
        <f>VALUE(RIGHT(Исходник!AA27))*10</f>
        <v/>
      </c>
      <c r="AC33" s="11">
        <f>VALUE(RIGHT(Исходник!AB27))*10</f>
        <v/>
      </c>
      <c r="AD33" s="11">
        <f>VALUE(RIGHT(Исходник!AC27))*10</f>
        <v/>
      </c>
      <c r="AE33" s="11">
        <f>VALUE(RIGHT(Исходник!AD27))*10</f>
        <v/>
      </c>
      <c r="AF33" s="11">
        <f>VALUE(RIGHT(Исходник!AE27))*10</f>
        <v/>
      </c>
      <c r="AG33" s="11">
        <f>VALUE(RIGHT(Исходник!AF27))*10</f>
        <v/>
      </c>
      <c r="AH33" s="11">
        <f>VALUE(RIGHT(Исходник!AG27))*10</f>
        <v/>
      </c>
      <c r="AI33" s="11">
        <f>VALUE(RIGHT(Исходник!AH27))*10</f>
        <v/>
      </c>
      <c r="AJ33" s="11">
        <f>VALUE(RIGHT(Исходник!AI27))*10</f>
        <v/>
      </c>
      <c r="AK33" s="109">
        <f>VALUE(RIGHT(Исходник!AJ27))*10</f>
        <v/>
      </c>
      <c r="AO33" t="n">
        <v>9</v>
      </c>
      <c r="AP33" s="15" t="inlineStr">
        <is>
          <t>UNDER KNOTS</t>
        </is>
      </c>
    </row>
    <row r="34">
      <c r="C34" s="84">
        <f>Исходник!B28</f>
        <v/>
      </c>
      <c r="F34" s="11">
        <f>VALUE(RIGHT(Исходник!E28,2))/10</f>
        <v/>
      </c>
      <c r="G34" s="11">
        <f>VALUE(RIGHT(Исходник!F28,2))/10</f>
        <v/>
      </c>
      <c r="H34" s="11">
        <f>VALUE(RIGHT(Исходник!G28,2))/10</f>
        <v/>
      </c>
      <c r="I34" s="11">
        <f>VALUE(RIGHT(Исходник!H28,2))/10</f>
        <v/>
      </c>
      <c r="J34" s="11">
        <f>VALUE(RIGHT(Исходник!I28,2))/10</f>
        <v/>
      </c>
      <c r="K34" s="11">
        <f>VALUE(RIGHT(Исходник!J28,2))/10</f>
        <v/>
      </c>
      <c r="L34" s="11">
        <f>VALUE(RIGHT(Исходник!K28,2))/10</f>
        <v/>
      </c>
      <c r="M34" s="11">
        <f>VALUE(RIGHT(Исходник!L28,2))/10</f>
        <v/>
      </c>
      <c r="N34" s="11">
        <f>VALUE(RIGHT(Исходник!M28,2))/10</f>
        <v/>
      </c>
      <c r="O34" s="11">
        <f>VALUE(RIGHT(Исходник!N28,2))/10</f>
        <v/>
      </c>
      <c r="P34" s="11">
        <f>VALUE(RIGHT(Исходник!O28,2))/10</f>
        <v/>
      </c>
      <c r="Q34" s="11">
        <f>VALUE(RIGHT(Исходник!P28,2))/10</f>
        <v/>
      </c>
      <c r="R34" s="11">
        <f>VALUE(RIGHT(Исходник!Q28,2))/10</f>
        <v/>
      </c>
      <c r="S34" s="11">
        <f>VALUE(RIGHT(Исходник!R28,2))/10</f>
        <v/>
      </c>
      <c r="T34" s="11">
        <f>VALUE(RIGHT(Исходник!S28,2))/10</f>
        <v/>
      </c>
      <c r="U34" s="11">
        <f>VALUE(RIGHT(Исходник!T28,2))/10</f>
        <v/>
      </c>
      <c r="V34" s="11">
        <f>VALUE(RIGHT(Исходник!U28,2))/10</f>
        <v/>
      </c>
      <c r="W34" s="11">
        <f>VALUE(RIGHT(Исходник!V28,2))/10</f>
        <v/>
      </c>
      <c r="X34" s="11">
        <f>VALUE(RIGHT(Исходник!W28,2))/10</f>
        <v/>
      </c>
      <c r="Y34" s="11">
        <f>VALUE(RIGHT(Исходник!X28,2))/10</f>
        <v/>
      </c>
      <c r="Z34" s="11">
        <f>VALUE(RIGHT(Исходник!Y28,2))/10</f>
        <v/>
      </c>
      <c r="AA34" s="11">
        <f>VALUE(RIGHT(Исходник!Z28,2))/10</f>
        <v/>
      </c>
      <c r="AB34" s="11">
        <f>VALUE(RIGHT(Исходник!AA28,2))/10</f>
        <v/>
      </c>
      <c r="AC34" s="11">
        <f>VALUE(RIGHT(Исходник!AB28,2))/10</f>
        <v/>
      </c>
      <c r="AD34" s="11">
        <f>VALUE(RIGHT(Исходник!AC28,2))/10</f>
        <v/>
      </c>
      <c r="AE34" s="11">
        <f>VALUE(RIGHT(Исходник!AD28,2))/10</f>
        <v/>
      </c>
      <c r="AF34" s="11">
        <f>VALUE(RIGHT(Исходник!AE28,2))/10</f>
        <v/>
      </c>
      <c r="AG34" s="11">
        <f>VALUE(RIGHT(Исходник!AF28,2))/10</f>
        <v/>
      </c>
      <c r="AH34" s="11">
        <f>VALUE(RIGHT(Исходник!AG28,2))/10</f>
        <v/>
      </c>
      <c r="AI34" s="11">
        <f>VALUE(RIGHT(Исходник!AH28,2))/10</f>
        <v/>
      </c>
      <c r="AJ34" s="11">
        <f>VALUE(RIGHT(Исходник!AI28,2))/10</f>
        <v/>
      </c>
      <c r="AK34" s="109">
        <f>VALUE(RIGHT(Исходник!AJ28,2))/10</f>
        <v/>
      </c>
      <c r="AO34" t="n">
        <v>10</v>
      </c>
      <c r="AP34" s="15" t="inlineStr">
        <is>
          <t>LAST ENG STOPPED</t>
        </is>
      </c>
    </row>
    <row r="35">
      <c r="C35" s="84">
        <f>Исходник!B29</f>
        <v/>
      </c>
      <c r="F35" s="9">
        <f>Исходник!E29</f>
        <v/>
      </c>
      <c r="G35" s="9">
        <f>Исходник!F29</f>
        <v/>
      </c>
      <c r="H35" s="9">
        <f>Исходник!G29</f>
        <v/>
      </c>
      <c r="I35" s="9">
        <f>Исходник!H29</f>
        <v/>
      </c>
      <c r="J35" s="9">
        <f>Исходник!I29</f>
        <v/>
      </c>
      <c r="K35" s="9">
        <f>Исходник!J29</f>
        <v/>
      </c>
      <c r="L35" s="9">
        <f>Исходник!K29</f>
        <v/>
      </c>
      <c r="M35" s="9">
        <f>Исходник!L29</f>
        <v/>
      </c>
      <c r="N35" s="9">
        <f>Исходник!M29</f>
        <v/>
      </c>
      <c r="O35" s="9">
        <f>Исходник!N29</f>
        <v/>
      </c>
      <c r="P35" s="9">
        <f>Исходник!O29</f>
        <v/>
      </c>
      <c r="Q35" s="9">
        <f>Исходник!P29</f>
        <v/>
      </c>
      <c r="R35" s="9">
        <f>Исходник!Q29</f>
        <v/>
      </c>
      <c r="S35" s="9">
        <f>Исходник!R29</f>
        <v/>
      </c>
      <c r="T35" s="9">
        <f>Исходник!S29</f>
        <v/>
      </c>
      <c r="U35" s="9">
        <f>Исходник!T29</f>
        <v/>
      </c>
      <c r="V35" s="9">
        <f>Исходник!U29</f>
        <v/>
      </c>
      <c r="W35" s="9">
        <f>Исходник!V29</f>
        <v/>
      </c>
      <c r="X35" s="9">
        <f>Исходник!W29</f>
        <v/>
      </c>
      <c r="Y35" s="9">
        <f>Исходник!X29</f>
        <v/>
      </c>
      <c r="Z35" s="9">
        <f>Исходник!Y29</f>
        <v/>
      </c>
      <c r="AA35" s="9">
        <f>Исходник!Z29</f>
        <v/>
      </c>
      <c r="AB35" s="9">
        <f>Исходник!AA29</f>
        <v/>
      </c>
      <c r="AC35" s="9">
        <f>Исходник!AB29</f>
        <v/>
      </c>
      <c r="AD35" s="9">
        <f>Исходник!AC29</f>
        <v/>
      </c>
      <c r="AE35" s="9">
        <f>Исходник!AD29</f>
        <v/>
      </c>
      <c r="AF35" s="9">
        <f>Исходник!AE29</f>
        <v/>
      </c>
      <c r="AG35" s="9">
        <f>Исходник!AF29</f>
        <v/>
      </c>
      <c r="AH35" s="9">
        <f>Исходник!AG29</f>
        <v/>
      </c>
      <c r="AI35" s="9">
        <f>Исходник!AH29</f>
        <v/>
      </c>
      <c r="AJ35" s="9">
        <f>Исходник!AI29</f>
        <v/>
      </c>
      <c r="AK35" s="107">
        <f>Исходник!AJ29</f>
        <v/>
      </c>
      <c r="AO35" t="n">
        <v>255</v>
      </c>
      <c r="AP35" s="15" t="inlineStr">
        <is>
          <t>UNINIT</t>
        </is>
      </c>
    </row>
    <row r="36">
      <c r="C36" s="84">
        <f>Исходник!B30</f>
        <v/>
      </c>
      <c r="F36" s="9">
        <f>Исходник!E30</f>
        <v/>
      </c>
      <c r="G36" s="9">
        <f>Исходник!F30</f>
        <v/>
      </c>
      <c r="H36" s="9">
        <f>Исходник!G30</f>
        <v/>
      </c>
      <c r="I36" s="9">
        <f>Исходник!H30</f>
        <v/>
      </c>
      <c r="J36" s="9">
        <f>Исходник!I30</f>
        <v/>
      </c>
      <c r="K36" s="9">
        <f>Исходник!J30</f>
        <v/>
      </c>
      <c r="L36" s="9">
        <f>Исходник!K30</f>
        <v/>
      </c>
      <c r="M36" s="9">
        <f>Исходник!L30</f>
        <v/>
      </c>
      <c r="N36" s="9">
        <f>Исходник!M30</f>
        <v/>
      </c>
      <c r="O36" s="9">
        <f>Исходник!N30</f>
        <v/>
      </c>
      <c r="P36" s="9">
        <f>Исходник!O30</f>
        <v/>
      </c>
      <c r="Q36" s="9">
        <f>Исходник!P30</f>
        <v/>
      </c>
      <c r="R36" s="9">
        <f>Исходник!Q30</f>
        <v/>
      </c>
      <c r="S36" s="9">
        <f>Исходник!R30</f>
        <v/>
      </c>
      <c r="T36" s="9">
        <f>Исходник!S30</f>
        <v/>
      </c>
      <c r="U36" s="9">
        <f>Исходник!T30</f>
        <v/>
      </c>
      <c r="V36" s="9">
        <f>Исходник!U30</f>
        <v/>
      </c>
      <c r="W36" s="9">
        <f>Исходник!V30</f>
        <v/>
      </c>
      <c r="X36" s="9">
        <f>Исходник!W30</f>
        <v/>
      </c>
      <c r="Y36" s="9">
        <f>Исходник!X30</f>
        <v/>
      </c>
      <c r="Z36" s="9">
        <f>Исходник!Y30</f>
        <v/>
      </c>
      <c r="AA36" s="9">
        <f>Исходник!Z30</f>
        <v/>
      </c>
      <c r="AB36" s="9">
        <f>Исходник!AA30</f>
        <v/>
      </c>
      <c r="AC36" s="9">
        <f>Исходник!AB30</f>
        <v/>
      </c>
      <c r="AD36" s="9">
        <f>Исходник!AC30</f>
        <v/>
      </c>
      <c r="AE36" s="9">
        <f>Исходник!AD30</f>
        <v/>
      </c>
      <c r="AF36" s="9">
        <f>Исходник!AE30</f>
        <v/>
      </c>
      <c r="AG36" s="9">
        <f>Исходник!AF30</f>
        <v/>
      </c>
      <c r="AH36" s="9">
        <f>Исходник!AG30</f>
        <v/>
      </c>
      <c r="AI36" s="9">
        <f>Исходник!AH30</f>
        <v/>
      </c>
      <c r="AJ36" s="9">
        <f>Исходник!AI30</f>
        <v/>
      </c>
      <c r="AK36" s="107">
        <f>Исходник!AJ30</f>
        <v/>
      </c>
    </row>
    <row r="37">
      <c r="C37" s="84">
        <f>Исходник!B31</f>
        <v/>
      </c>
      <c r="F37" s="9">
        <f>Исходник!E31</f>
        <v/>
      </c>
      <c r="G37" s="9">
        <f>Исходник!F31</f>
        <v/>
      </c>
      <c r="H37" s="9">
        <f>Исходник!G31</f>
        <v/>
      </c>
      <c r="I37" s="9">
        <f>Исходник!H31</f>
        <v/>
      </c>
      <c r="J37" s="9">
        <f>Исходник!I31</f>
        <v/>
      </c>
      <c r="K37" s="9">
        <f>Исходник!J31</f>
        <v/>
      </c>
      <c r="L37" s="9">
        <f>Исходник!K31</f>
        <v/>
      </c>
      <c r="M37" s="9">
        <f>Исходник!L31</f>
        <v/>
      </c>
      <c r="N37" s="9">
        <f>Исходник!M31</f>
        <v/>
      </c>
      <c r="O37" s="9">
        <f>Исходник!N31</f>
        <v/>
      </c>
      <c r="P37" s="9">
        <f>Исходник!O31</f>
        <v/>
      </c>
      <c r="Q37" s="9">
        <f>Исходник!P31</f>
        <v/>
      </c>
      <c r="R37" s="9">
        <f>Исходник!Q31</f>
        <v/>
      </c>
      <c r="S37" s="9">
        <f>Исходник!R31</f>
        <v/>
      </c>
      <c r="T37" s="9">
        <f>Исходник!S31</f>
        <v/>
      </c>
      <c r="U37" s="9">
        <f>Исходник!T31</f>
        <v/>
      </c>
      <c r="V37" s="9">
        <f>Исходник!U31</f>
        <v/>
      </c>
      <c r="W37" s="9">
        <f>Исходник!V31</f>
        <v/>
      </c>
      <c r="X37" s="9">
        <f>Исходник!W31</f>
        <v/>
      </c>
      <c r="Y37" s="9">
        <f>Исходник!X31</f>
        <v/>
      </c>
      <c r="Z37" s="9">
        <f>Исходник!Y31</f>
        <v/>
      </c>
      <c r="AA37" s="9">
        <f>Исходник!Z31</f>
        <v/>
      </c>
      <c r="AB37" s="9">
        <f>Исходник!AA31</f>
        <v/>
      </c>
      <c r="AC37" s="9">
        <f>Исходник!AB31</f>
        <v/>
      </c>
      <c r="AD37" s="9">
        <f>Исходник!AC31</f>
        <v/>
      </c>
      <c r="AE37" s="9">
        <f>Исходник!AD31</f>
        <v/>
      </c>
      <c r="AF37" s="9">
        <f>Исходник!AE31</f>
        <v/>
      </c>
      <c r="AG37" s="9">
        <f>Исходник!AF31</f>
        <v/>
      </c>
      <c r="AH37" s="9">
        <f>Исходник!AG31</f>
        <v/>
      </c>
      <c r="AI37" s="9">
        <f>Исходник!AH31</f>
        <v/>
      </c>
      <c r="AJ37" s="9">
        <f>Исходник!AI31</f>
        <v/>
      </c>
      <c r="AK37" s="107">
        <f>Исходник!AJ31</f>
        <v/>
      </c>
    </row>
    <row r="38" ht="90" customFormat="1" customHeight="1" s="116">
      <c r="C38" s="115" t="inlineStr">
        <is>
          <t>LRU MESSAGE</t>
        </is>
      </c>
      <c r="F38" s="117">
        <f>VLOOKUP(HEX2DEC(RIGHT(Исходник!E32,2)),$AO$39:$AP$60,2,0)</f>
        <v/>
      </c>
      <c r="G38" s="117">
        <f>VLOOKUP(HEX2DEC(RIGHT(Исходник!F32,2)),$AO$39:$AP$60,2,0)</f>
        <v/>
      </c>
      <c r="H38" s="117">
        <f>VLOOKUP(HEX2DEC(RIGHT(Исходник!G32,2)),$AO$39:$AP$60,2,0)</f>
        <v/>
      </c>
      <c r="I38" s="117">
        <f>VLOOKUP(HEX2DEC(RIGHT(Исходник!H32,2)),$AO$39:$AP$60,2,0)</f>
        <v/>
      </c>
      <c r="J38" s="117">
        <f>VLOOKUP(HEX2DEC(RIGHT(Исходник!I32,2)),$AO$39:$AP$60,2,0)</f>
        <v/>
      </c>
      <c r="K38" s="117">
        <f>VLOOKUP(HEX2DEC(RIGHT(Исходник!J32,2)),$AO$39:$AP$60,2,0)</f>
        <v/>
      </c>
      <c r="L38" s="117">
        <f>VLOOKUP(HEX2DEC(RIGHT(Исходник!K32,2)),$AO$39:$AP$60,2,0)</f>
        <v/>
      </c>
      <c r="M38" s="117">
        <f>VLOOKUP(HEX2DEC(RIGHT(Исходник!L32,2)),$AO$39:$AP$60,2,0)</f>
        <v/>
      </c>
      <c r="N38" s="117">
        <f>VLOOKUP(HEX2DEC(RIGHT(Исходник!M32,2)),$AO$39:$AP$60,2,0)</f>
        <v/>
      </c>
      <c r="O38" s="117">
        <f>VLOOKUP(HEX2DEC(RIGHT(Исходник!N32,2)),$AO$39:$AP$60,2,0)</f>
        <v/>
      </c>
      <c r="P38" s="117">
        <f>VLOOKUP(HEX2DEC(RIGHT(Исходник!O32,2)),$AO$39:$AP$60,2,0)</f>
        <v/>
      </c>
      <c r="Q38" s="117">
        <f>VLOOKUP(HEX2DEC(RIGHT(Исходник!P32,2)),$AO$39:$AP$60,2,0)</f>
        <v/>
      </c>
      <c r="R38" s="117">
        <f>VLOOKUP(HEX2DEC(RIGHT(Исходник!Q32,2)),$AO$39:$AP$60,2,0)</f>
        <v/>
      </c>
      <c r="S38" s="117">
        <f>VLOOKUP(HEX2DEC(RIGHT(Исходник!R32,2)),$AO$39:$AP$60,2,0)</f>
        <v/>
      </c>
      <c r="T38" s="117">
        <f>VLOOKUP(HEX2DEC(RIGHT(Исходник!S32,2)),$AO$39:$AP$60,2,0)</f>
        <v/>
      </c>
      <c r="U38" s="117">
        <f>VLOOKUP(HEX2DEC(RIGHT(Исходник!T32,2)),$AO$39:$AP$60,2,0)</f>
        <v/>
      </c>
      <c r="V38" s="117">
        <f>VLOOKUP(HEX2DEC(RIGHT(Исходник!U32,2)),$AO$39:$AP$60,2,0)</f>
        <v/>
      </c>
      <c r="W38" s="117">
        <f>VLOOKUP(HEX2DEC(RIGHT(Исходник!V32,2)),$AO$39:$AP$60,2,0)</f>
        <v/>
      </c>
      <c r="X38" s="117">
        <f>VLOOKUP(HEX2DEC(RIGHT(Исходник!W32,2)),$AO$39:$AP$60,2,0)</f>
        <v/>
      </c>
      <c r="Y38" s="117">
        <f>VLOOKUP(HEX2DEC(RIGHT(Исходник!X32,2)),$AO$39:$AP$60,2,0)</f>
        <v/>
      </c>
      <c r="Z38" s="117">
        <f>VLOOKUP(HEX2DEC(RIGHT(Исходник!Y32,2)),$AO$39:$AP$60,2,0)</f>
        <v/>
      </c>
      <c r="AA38" s="117">
        <f>VLOOKUP(HEX2DEC(RIGHT(Исходник!Z32,2)),$AO$39:$AP$60,2,0)</f>
        <v/>
      </c>
      <c r="AB38" s="117">
        <f>VLOOKUP(HEX2DEC(RIGHT(Исходник!AA32,2)),$AO$39:$AP$60,2,0)</f>
        <v/>
      </c>
      <c r="AC38" s="117">
        <f>VLOOKUP(HEX2DEC(RIGHT(Исходник!AB32,2)),$AO$39:$AP$60,2,0)</f>
        <v/>
      </c>
      <c r="AD38" s="117">
        <f>VLOOKUP(HEX2DEC(RIGHT(Исходник!AC32,2)),$AO$39:$AP$60,2,0)</f>
        <v/>
      </c>
      <c r="AE38" s="117">
        <f>VLOOKUP(HEX2DEC(RIGHT(Исходник!AD32,2)),$AO$39:$AP$60,2,0)</f>
        <v/>
      </c>
      <c r="AF38" s="117">
        <f>VLOOKUP(HEX2DEC(RIGHT(Исходник!AE32,2)),$AO$39:$AP$60,2,0)</f>
        <v/>
      </c>
      <c r="AG38" s="117">
        <f>VLOOKUP(HEX2DEC(RIGHT(Исходник!AF32,2)),$AO$39:$AP$60,2,0)</f>
        <v/>
      </c>
      <c r="AH38" s="117">
        <f>VLOOKUP(HEX2DEC(RIGHT(Исходник!AG32,2)),$AO$39:$AP$60,2,0)</f>
        <v/>
      </c>
      <c r="AI38" s="117">
        <f>VLOOKUP(HEX2DEC(RIGHT(Исходник!AH32,2)),$AO$39:$AP$60,2,0)</f>
        <v/>
      </c>
      <c r="AJ38" s="117">
        <f>VLOOKUP(HEX2DEC(RIGHT(Исходник!AI32,2)),$AO$39:$AP$60,2,0)</f>
        <v/>
      </c>
      <c r="AK38" s="117">
        <f>VLOOKUP(HEX2DEC(RIGHT(Исходник!AJ32,2)),$AO$39:$AP$60,2,0)</f>
        <v/>
      </c>
      <c r="AO38" s="118" t="inlineStr">
        <is>
          <t>LRU MESSAGE</t>
        </is>
      </c>
      <c r="AP38" s="118" t="n"/>
    </row>
    <row r="39">
      <c r="C39" s="84">
        <f>Исходник!B33</f>
        <v/>
      </c>
      <c r="F39" s="9">
        <f>TEXT(HEX2BIN(RIGHT(Исходник!E33,2)),"00000000")</f>
        <v/>
      </c>
      <c r="G39" s="9">
        <f>TEXT(HEX2BIN(RIGHT(Исходник!F33,2)),"00000000")</f>
        <v/>
      </c>
      <c r="H39" s="9">
        <f>TEXT(HEX2BIN(RIGHT(Исходник!G33,2)),"00000000")</f>
        <v/>
      </c>
      <c r="I39" s="9">
        <f>TEXT(HEX2BIN(RIGHT(Исходник!H33,2)),"00000000")</f>
        <v/>
      </c>
      <c r="J39" s="9">
        <f>TEXT(HEX2BIN(RIGHT(Исходник!I33,2)),"00000000")</f>
        <v/>
      </c>
      <c r="K39" s="9">
        <f>TEXT(HEX2BIN(RIGHT(Исходник!J33,2)),"00000000")</f>
        <v/>
      </c>
      <c r="L39" s="9">
        <f>TEXT(HEX2BIN(RIGHT(Исходник!K33,2)),"00000000")</f>
        <v/>
      </c>
      <c r="M39" s="9">
        <f>TEXT(HEX2BIN(RIGHT(Исходник!L33,2)),"00000000")</f>
        <v/>
      </c>
      <c r="N39" s="9">
        <f>TEXT(HEX2BIN(RIGHT(Исходник!M33,2)),"00000000")</f>
        <v/>
      </c>
      <c r="O39" s="9">
        <f>TEXT(HEX2BIN(RIGHT(Исходник!N33,2)),"00000000")</f>
        <v/>
      </c>
      <c r="P39" s="9">
        <f>TEXT(HEX2BIN(RIGHT(Исходник!O33,2)),"00000000")</f>
        <v/>
      </c>
      <c r="Q39" s="9">
        <f>TEXT(HEX2BIN(RIGHT(Исходник!P33,2)),"00000000")</f>
        <v/>
      </c>
      <c r="R39" s="9">
        <f>TEXT(HEX2BIN(RIGHT(Исходник!Q33,2)),"00000000")</f>
        <v/>
      </c>
      <c r="S39" s="9">
        <f>TEXT(HEX2BIN(RIGHT(Исходник!R33,2)),"00000000")</f>
        <v/>
      </c>
      <c r="T39" s="9">
        <f>TEXT(HEX2BIN(RIGHT(Исходник!S33,2)),"00000000")</f>
        <v/>
      </c>
      <c r="U39" s="9">
        <f>TEXT(HEX2BIN(RIGHT(Исходник!T33,2)),"00000000")</f>
        <v/>
      </c>
      <c r="V39" s="9">
        <f>TEXT(HEX2BIN(RIGHT(Исходник!U33,2)),"00000000")</f>
        <v/>
      </c>
      <c r="W39" s="9">
        <f>TEXT(HEX2BIN(RIGHT(Исходник!V33,2)),"00000000")</f>
        <v/>
      </c>
      <c r="X39" s="9">
        <f>TEXT(HEX2BIN(RIGHT(Исходник!W33,2)),"00000000")</f>
        <v/>
      </c>
      <c r="Y39" s="9">
        <f>TEXT(HEX2BIN(RIGHT(Исходник!X33,2)),"00000000")</f>
        <v/>
      </c>
      <c r="Z39" s="9">
        <f>TEXT(HEX2BIN(RIGHT(Исходник!Y33,2)),"00000000")</f>
        <v/>
      </c>
      <c r="AA39" s="9">
        <f>TEXT(HEX2BIN(RIGHT(Исходник!Z33,2)),"00000000")</f>
        <v/>
      </c>
      <c r="AB39" s="9">
        <f>TEXT(HEX2BIN(RIGHT(Исходник!AA33,2)),"00000000")</f>
        <v/>
      </c>
      <c r="AC39" s="9">
        <f>TEXT(HEX2BIN(RIGHT(Исходник!AB33,2)),"00000000")</f>
        <v/>
      </c>
      <c r="AD39" s="9">
        <f>TEXT(HEX2BIN(RIGHT(Исходник!AC33,2)),"00000000")</f>
        <v/>
      </c>
      <c r="AE39" s="9">
        <f>TEXT(HEX2BIN(RIGHT(Исходник!AD33,2)),"00000000")</f>
        <v/>
      </c>
      <c r="AF39" s="9">
        <f>TEXT(HEX2BIN(RIGHT(Исходник!AE33,2)),"00000000")</f>
        <v/>
      </c>
      <c r="AG39" s="9">
        <f>TEXT(HEX2BIN(RIGHT(Исходник!AF33,2)),"00000000")</f>
        <v/>
      </c>
      <c r="AH39" s="9">
        <f>TEXT(HEX2BIN(RIGHT(Исходник!AG33,2)),"00000000")</f>
        <v/>
      </c>
      <c r="AI39" s="9">
        <f>TEXT(HEX2BIN(RIGHT(Исходник!AH33,2)),"00000000")</f>
        <v/>
      </c>
      <c r="AJ39" s="9">
        <f>TEXT(HEX2BIN(RIGHT(Исходник!AI33,2)),"00000000")</f>
        <v/>
      </c>
      <c r="AK39" s="107">
        <f>TEXT(HEX2BIN(RIGHT(Исходник!AJ33,2)),"00000000")</f>
        <v/>
      </c>
      <c r="AO39" s="113" t="n">
        <v>0</v>
      </c>
      <c r="AP39" s="113" t="inlineStr">
        <is>
          <t>NO FAILURE DATA STORED OR OBSOLETE FAILURE DATA</t>
        </is>
      </c>
    </row>
    <row r="40">
      <c r="C40" s="84">
        <f>Исходник!B34</f>
        <v/>
      </c>
      <c r="F40" s="9">
        <f>TEXT(HEX2BIN(RIGHT(Исходник!E34,2)),"00000000")</f>
        <v/>
      </c>
      <c r="G40" s="9">
        <f>TEXT(HEX2BIN(RIGHT(Исходник!F34,2)),"00000000")</f>
        <v/>
      </c>
      <c r="H40" s="9">
        <f>TEXT(HEX2BIN(RIGHT(Исходник!G34,2)),"00000000")</f>
        <v/>
      </c>
      <c r="I40" s="9">
        <f>TEXT(HEX2BIN(RIGHT(Исходник!H34,2)),"00000000")</f>
        <v/>
      </c>
      <c r="J40" s="9">
        <f>TEXT(HEX2BIN(RIGHT(Исходник!I34,2)),"00000000")</f>
        <v/>
      </c>
      <c r="K40" s="9">
        <f>TEXT(HEX2BIN(RIGHT(Исходник!J34,2)),"00000000")</f>
        <v/>
      </c>
      <c r="L40" s="9">
        <f>TEXT(HEX2BIN(RIGHT(Исходник!K34,2)),"00000000")</f>
        <v/>
      </c>
      <c r="M40" s="9">
        <f>TEXT(HEX2BIN(RIGHT(Исходник!L34,2)),"00000000")</f>
        <v/>
      </c>
      <c r="N40" s="9">
        <f>TEXT(HEX2BIN(RIGHT(Исходник!M34,2)),"00000000")</f>
        <v/>
      </c>
      <c r="O40" s="9">
        <f>TEXT(HEX2BIN(RIGHT(Исходник!N34,2)),"00000000")</f>
        <v/>
      </c>
      <c r="P40" s="9">
        <f>TEXT(HEX2BIN(RIGHT(Исходник!O34,2)),"00000000")</f>
        <v/>
      </c>
      <c r="Q40" s="9">
        <f>TEXT(HEX2BIN(RIGHT(Исходник!P34,2)),"00000000")</f>
        <v/>
      </c>
      <c r="R40" s="9">
        <f>TEXT(HEX2BIN(RIGHT(Исходник!Q34,2)),"00000000")</f>
        <v/>
      </c>
      <c r="S40" s="9">
        <f>TEXT(HEX2BIN(RIGHT(Исходник!R34,2)),"00000000")</f>
        <v/>
      </c>
      <c r="T40" s="9">
        <f>TEXT(HEX2BIN(RIGHT(Исходник!S34,2)),"00000000")</f>
        <v/>
      </c>
      <c r="U40" s="9">
        <f>TEXT(HEX2BIN(RIGHT(Исходник!T34,2)),"00000000")</f>
        <v/>
      </c>
      <c r="V40" s="9">
        <f>TEXT(HEX2BIN(RIGHT(Исходник!U34,2)),"00000000")</f>
        <v/>
      </c>
      <c r="W40" s="9">
        <f>TEXT(HEX2BIN(RIGHT(Исходник!V34,2)),"00000000")</f>
        <v/>
      </c>
      <c r="X40" s="9">
        <f>TEXT(HEX2BIN(RIGHT(Исходник!W34,2)),"00000000")</f>
        <v/>
      </c>
      <c r="Y40" s="9">
        <f>TEXT(HEX2BIN(RIGHT(Исходник!X34,2)),"00000000")</f>
        <v/>
      </c>
      <c r="Z40" s="9">
        <f>TEXT(HEX2BIN(RIGHT(Исходник!Y34,2)),"00000000")</f>
        <v/>
      </c>
      <c r="AA40" s="9">
        <f>TEXT(HEX2BIN(RIGHT(Исходник!Z34,2)),"00000000")</f>
        <v/>
      </c>
      <c r="AB40" s="9">
        <f>TEXT(HEX2BIN(RIGHT(Исходник!AA34,2)),"00000000")</f>
        <v/>
      </c>
      <c r="AC40" s="9">
        <f>TEXT(HEX2BIN(RIGHT(Исходник!AB34,2)),"00000000")</f>
        <v/>
      </c>
      <c r="AD40" s="9">
        <f>TEXT(HEX2BIN(RIGHT(Исходник!AC34,2)),"00000000")</f>
        <v/>
      </c>
      <c r="AE40" s="9">
        <f>TEXT(HEX2BIN(RIGHT(Исходник!AD34,2)),"00000000")</f>
        <v/>
      </c>
      <c r="AF40" s="9">
        <f>TEXT(HEX2BIN(RIGHT(Исходник!AE34,2)),"00000000")</f>
        <v/>
      </c>
      <c r="AG40" s="9">
        <f>TEXT(HEX2BIN(RIGHT(Исходник!AF34,2)),"00000000")</f>
        <v/>
      </c>
      <c r="AH40" s="9">
        <f>TEXT(HEX2BIN(RIGHT(Исходник!AG34,2)),"00000000")</f>
        <v/>
      </c>
      <c r="AI40" s="9">
        <f>TEXT(HEX2BIN(RIGHT(Исходник!AH34,2)),"00000000")</f>
        <v/>
      </c>
      <c r="AJ40" s="9">
        <f>TEXT(HEX2BIN(RIGHT(Исходник!AI34,2)),"00000000")</f>
        <v/>
      </c>
      <c r="AK40" s="107">
        <f>TEXT(HEX2BIN(RIGHT(Исходник!AJ34,2)),"00000000")</f>
        <v/>
      </c>
      <c r="AO40" s="113" t="n">
        <v>1</v>
      </c>
      <c r="AP40" s="113" t="inlineStr">
        <is>
          <t>OUTFLOW VALVE ELECTRONIC</t>
        </is>
      </c>
    </row>
    <row r="41">
      <c r="C41" s="84">
        <f>Исходник!B35</f>
        <v/>
      </c>
      <c r="F41" s="9">
        <f>TEXT(HEX2BIN(RIGHT(Исходник!E35,2)),"00000000")</f>
        <v/>
      </c>
      <c r="G41" s="9">
        <f>TEXT(HEX2BIN(RIGHT(Исходник!F35,2)),"00000000")</f>
        <v/>
      </c>
      <c r="H41" s="9">
        <f>TEXT(HEX2BIN(RIGHT(Исходник!G35,2)),"00000000")</f>
        <v/>
      </c>
      <c r="I41" s="9">
        <f>TEXT(HEX2BIN(RIGHT(Исходник!H35,2)),"00000000")</f>
        <v/>
      </c>
      <c r="J41" s="9">
        <f>TEXT(HEX2BIN(RIGHT(Исходник!I35,2)),"00000000")</f>
        <v/>
      </c>
      <c r="K41" s="9">
        <f>TEXT(HEX2BIN(RIGHT(Исходник!J35,2)),"00000000")</f>
        <v/>
      </c>
      <c r="L41" s="9">
        <f>TEXT(HEX2BIN(RIGHT(Исходник!K35,2)),"00000000")</f>
        <v/>
      </c>
      <c r="M41" s="9">
        <f>TEXT(HEX2BIN(RIGHT(Исходник!L35,2)),"00000000")</f>
        <v/>
      </c>
      <c r="N41" s="9">
        <f>TEXT(HEX2BIN(RIGHT(Исходник!M35,2)),"00000000")</f>
        <v/>
      </c>
      <c r="O41" s="9">
        <f>TEXT(HEX2BIN(RIGHT(Исходник!N35,2)),"00000000")</f>
        <v/>
      </c>
      <c r="P41" s="9">
        <f>TEXT(HEX2BIN(RIGHT(Исходник!O35,2)),"00000000")</f>
        <v/>
      </c>
      <c r="Q41" s="9">
        <f>TEXT(HEX2BIN(RIGHT(Исходник!P35,2)),"00000000")</f>
        <v/>
      </c>
      <c r="R41" s="9">
        <f>TEXT(HEX2BIN(RIGHT(Исходник!Q35,2)),"00000000")</f>
        <v/>
      </c>
      <c r="S41" s="9">
        <f>TEXT(HEX2BIN(RIGHT(Исходник!R35,2)),"00000000")</f>
        <v/>
      </c>
      <c r="T41" s="9">
        <f>TEXT(HEX2BIN(RIGHT(Исходник!S35,2)),"00000000")</f>
        <v/>
      </c>
      <c r="U41" s="9">
        <f>TEXT(HEX2BIN(RIGHT(Исходник!T35,2)),"00000000")</f>
        <v/>
      </c>
      <c r="V41" s="9">
        <f>TEXT(HEX2BIN(RIGHT(Исходник!U35,2)),"00000000")</f>
        <v/>
      </c>
      <c r="W41" s="9">
        <f>TEXT(HEX2BIN(RIGHT(Исходник!V35,2)),"00000000")</f>
        <v/>
      </c>
      <c r="X41" s="9">
        <f>TEXT(HEX2BIN(RIGHT(Исходник!W35,2)),"00000000")</f>
        <v/>
      </c>
      <c r="Y41" s="9">
        <f>TEXT(HEX2BIN(RIGHT(Исходник!X35,2)),"00000000")</f>
        <v/>
      </c>
      <c r="Z41" s="9">
        <f>TEXT(HEX2BIN(RIGHT(Исходник!Y35,2)),"00000000")</f>
        <v/>
      </c>
      <c r="AA41" s="9">
        <f>TEXT(HEX2BIN(RIGHT(Исходник!Z35,2)),"00000000")</f>
        <v/>
      </c>
      <c r="AB41" s="9">
        <f>TEXT(HEX2BIN(RIGHT(Исходник!AA35,2)),"00000000")</f>
        <v/>
      </c>
      <c r="AC41" s="9">
        <f>TEXT(HEX2BIN(RIGHT(Исходник!AB35,2)),"00000000")</f>
        <v/>
      </c>
      <c r="AD41" s="9">
        <f>TEXT(HEX2BIN(RIGHT(Исходник!AC35,2)),"00000000")</f>
        <v/>
      </c>
      <c r="AE41" s="9">
        <f>TEXT(HEX2BIN(RIGHT(Исходник!AD35,2)),"00000000")</f>
        <v/>
      </c>
      <c r="AF41" s="9">
        <f>TEXT(HEX2BIN(RIGHT(Исходник!AE35,2)),"00000000")</f>
        <v/>
      </c>
      <c r="AG41" s="9">
        <f>TEXT(HEX2BIN(RIGHT(Исходник!AF35,2)),"00000000")</f>
        <v/>
      </c>
      <c r="AH41" s="9">
        <f>TEXT(HEX2BIN(RIGHT(Исходник!AG35,2)),"00000000")</f>
        <v/>
      </c>
      <c r="AI41" s="9">
        <f>TEXT(HEX2BIN(RIGHT(Исходник!AH35,2)),"00000000")</f>
        <v/>
      </c>
      <c r="AJ41" s="9">
        <f>TEXT(HEX2BIN(RIGHT(Исходник!AI35,2)),"00000000")</f>
        <v/>
      </c>
      <c r="AK41" s="107">
        <f>TEXT(HEX2BIN(RIGHT(Исходник!AJ35,2)),"00000000")</f>
        <v/>
      </c>
      <c r="AO41" s="113" t="n">
        <v>2</v>
      </c>
      <c r="AP41" s="113" t="inlineStr">
        <is>
          <t>OUTFLOW VALVE AUTO MOTOR</t>
        </is>
      </c>
    </row>
    <row r="42">
      <c r="C42" s="84">
        <f>Исходник!B36</f>
        <v/>
      </c>
      <c r="F42" s="9">
        <f>TEXT(HEX2BIN(RIGHT(Исходник!E36,2)),"00000000")</f>
        <v/>
      </c>
      <c r="G42" s="9">
        <f>TEXT(HEX2BIN(RIGHT(Исходник!F36,2)),"00000000")</f>
        <v/>
      </c>
      <c r="H42" s="9">
        <f>TEXT(HEX2BIN(RIGHT(Исходник!G36,2)),"00000000")</f>
        <v/>
      </c>
      <c r="I42" s="9">
        <f>TEXT(HEX2BIN(RIGHT(Исходник!H36,2)),"00000000")</f>
        <v/>
      </c>
      <c r="J42" s="9">
        <f>TEXT(HEX2BIN(RIGHT(Исходник!I36,2)),"00000000")</f>
        <v/>
      </c>
      <c r="K42" s="9">
        <f>TEXT(HEX2BIN(RIGHT(Исходник!J36,2)),"00000000")</f>
        <v/>
      </c>
      <c r="L42" s="9">
        <f>TEXT(HEX2BIN(RIGHT(Исходник!K36,2)),"00000000")</f>
        <v/>
      </c>
      <c r="M42" s="9">
        <f>TEXT(HEX2BIN(RIGHT(Исходник!L36,2)),"00000000")</f>
        <v/>
      </c>
      <c r="N42" s="9">
        <f>TEXT(HEX2BIN(RIGHT(Исходник!M36,2)),"00000000")</f>
        <v/>
      </c>
      <c r="O42" s="9">
        <f>TEXT(HEX2BIN(RIGHT(Исходник!N36,2)),"00000000")</f>
        <v/>
      </c>
      <c r="P42" s="9">
        <f>TEXT(HEX2BIN(RIGHT(Исходник!O36,2)),"00000000")</f>
        <v/>
      </c>
      <c r="Q42" s="9">
        <f>TEXT(HEX2BIN(RIGHT(Исходник!P36,2)),"00000000")</f>
        <v/>
      </c>
      <c r="R42" s="9">
        <f>TEXT(HEX2BIN(RIGHT(Исходник!Q36,2)),"00000000")</f>
        <v/>
      </c>
      <c r="S42" s="9">
        <f>TEXT(HEX2BIN(RIGHT(Исходник!R36,2)),"00000000")</f>
        <v/>
      </c>
      <c r="T42" s="9">
        <f>TEXT(HEX2BIN(RIGHT(Исходник!S36,2)),"00000000")</f>
        <v/>
      </c>
      <c r="U42" s="9">
        <f>TEXT(HEX2BIN(RIGHT(Исходник!T36,2)),"00000000")</f>
        <v/>
      </c>
      <c r="V42" s="9">
        <f>TEXT(HEX2BIN(RIGHT(Исходник!U36,2)),"00000000")</f>
        <v/>
      </c>
      <c r="W42" s="9">
        <f>TEXT(HEX2BIN(RIGHT(Исходник!V36,2)),"00000000")</f>
        <v/>
      </c>
      <c r="X42" s="9">
        <f>TEXT(HEX2BIN(RIGHT(Исходник!W36,2)),"00000000")</f>
        <v/>
      </c>
      <c r="Y42" s="9">
        <f>TEXT(HEX2BIN(RIGHT(Исходник!X36,2)),"00000000")</f>
        <v/>
      </c>
      <c r="Z42" s="9">
        <f>TEXT(HEX2BIN(RIGHT(Исходник!Y36,2)),"00000000")</f>
        <v/>
      </c>
      <c r="AA42" s="9">
        <f>TEXT(HEX2BIN(RIGHT(Исходник!Z36,2)),"00000000")</f>
        <v/>
      </c>
      <c r="AB42" s="9">
        <f>TEXT(HEX2BIN(RIGHT(Исходник!AA36,2)),"00000000")</f>
        <v/>
      </c>
      <c r="AC42" s="9">
        <f>TEXT(HEX2BIN(RIGHT(Исходник!AB36,2)),"00000000")</f>
        <v/>
      </c>
      <c r="AD42" s="9">
        <f>TEXT(HEX2BIN(RIGHT(Исходник!AC36,2)),"00000000")</f>
        <v/>
      </c>
      <c r="AE42" s="9">
        <f>TEXT(HEX2BIN(RIGHT(Исходник!AD36,2)),"00000000")</f>
        <v/>
      </c>
      <c r="AF42" s="9">
        <f>TEXT(HEX2BIN(RIGHT(Исходник!AE36,2)),"00000000")</f>
        <v/>
      </c>
      <c r="AG42" s="9">
        <f>TEXT(HEX2BIN(RIGHT(Исходник!AF36,2)),"00000000")</f>
        <v/>
      </c>
      <c r="AH42" s="9">
        <f>TEXT(HEX2BIN(RIGHT(Исходник!AG36,2)),"00000000")</f>
        <v/>
      </c>
      <c r="AI42" s="9">
        <f>TEXT(HEX2BIN(RIGHT(Исходник!AH36,2)),"00000000")</f>
        <v/>
      </c>
      <c r="AJ42" s="9">
        <f>TEXT(HEX2BIN(RIGHT(Исходник!AI36,2)),"00000000")</f>
        <v/>
      </c>
      <c r="AK42" s="107">
        <f>TEXT(HEX2BIN(RIGHT(Исходник!AJ36,2)),"00000000")</f>
        <v/>
      </c>
      <c r="AO42" s="113" t="n">
        <v>3</v>
      </c>
      <c r="AP42" s="113" t="inlineStr">
        <is>
          <t>PRESSURE CONTROLLER</t>
        </is>
      </c>
    </row>
    <row r="43">
      <c r="C43" s="84">
        <f>Исходник!B37</f>
        <v/>
      </c>
      <c r="F43" s="9">
        <f>TEXT(HEX2BIN(RIGHT(Исходник!E37,2)),"00000000")</f>
        <v/>
      </c>
      <c r="G43" s="9">
        <f>TEXT(HEX2BIN(RIGHT(Исходник!F37,2)),"00000000")</f>
        <v/>
      </c>
      <c r="H43" s="9">
        <f>TEXT(HEX2BIN(RIGHT(Исходник!G37,2)),"00000000")</f>
        <v/>
      </c>
      <c r="I43" s="9">
        <f>TEXT(HEX2BIN(RIGHT(Исходник!H37,2)),"00000000")</f>
        <v/>
      </c>
      <c r="J43" s="9">
        <f>TEXT(HEX2BIN(RIGHT(Исходник!I37,2)),"00000000")</f>
        <v/>
      </c>
      <c r="K43" s="9">
        <f>TEXT(HEX2BIN(RIGHT(Исходник!J37,2)),"00000000")</f>
        <v/>
      </c>
      <c r="L43" s="9">
        <f>TEXT(HEX2BIN(RIGHT(Исходник!K37,2)),"00000000")</f>
        <v/>
      </c>
      <c r="M43" s="9">
        <f>TEXT(HEX2BIN(RIGHT(Исходник!L37,2)),"00000000")</f>
        <v/>
      </c>
      <c r="N43" s="9">
        <f>TEXT(HEX2BIN(RIGHT(Исходник!M37,2)),"00000000")</f>
        <v/>
      </c>
      <c r="O43" s="9">
        <f>TEXT(HEX2BIN(RIGHT(Исходник!N37,2)),"00000000")</f>
        <v/>
      </c>
      <c r="P43" s="9">
        <f>TEXT(HEX2BIN(RIGHT(Исходник!O37,2)),"00000000")</f>
        <v/>
      </c>
      <c r="Q43" s="9">
        <f>TEXT(HEX2BIN(RIGHT(Исходник!P37,2)),"00000000")</f>
        <v/>
      </c>
      <c r="R43" s="9">
        <f>TEXT(HEX2BIN(RIGHT(Исходник!Q37,2)),"00000000")</f>
        <v/>
      </c>
      <c r="S43" s="9">
        <f>TEXT(HEX2BIN(RIGHT(Исходник!R37,2)),"00000000")</f>
        <v/>
      </c>
      <c r="T43" s="9">
        <f>TEXT(HEX2BIN(RIGHT(Исходник!S37,2)),"00000000")</f>
        <v/>
      </c>
      <c r="U43" s="9">
        <f>TEXT(HEX2BIN(RIGHT(Исходник!T37,2)),"00000000")</f>
        <v/>
      </c>
      <c r="V43" s="9">
        <f>TEXT(HEX2BIN(RIGHT(Исходник!U37,2)),"00000000")</f>
        <v/>
      </c>
      <c r="W43" s="9">
        <f>TEXT(HEX2BIN(RIGHT(Исходник!V37,2)),"00000000")</f>
        <v/>
      </c>
      <c r="X43" s="9">
        <f>TEXT(HEX2BIN(RIGHT(Исходник!W37,2)),"00000000")</f>
        <v/>
      </c>
      <c r="Y43" s="9">
        <f>TEXT(HEX2BIN(RIGHT(Исходник!X37,2)),"00000000")</f>
        <v/>
      </c>
      <c r="Z43" s="9">
        <f>TEXT(HEX2BIN(RIGHT(Исходник!Y37,2)),"00000000")</f>
        <v/>
      </c>
      <c r="AA43" s="9">
        <f>TEXT(HEX2BIN(RIGHT(Исходник!Z37,2)),"00000000")</f>
        <v/>
      </c>
      <c r="AB43" s="9">
        <f>TEXT(HEX2BIN(RIGHT(Исходник!AA37,2)),"00000000")</f>
        <v/>
      </c>
      <c r="AC43" s="9">
        <f>TEXT(HEX2BIN(RIGHT(Исходник!AB37,2)),"00000000")</f>
        <v/>
      </c>
      <c r="AD43" s="9">
        <f>TEXT(HEX2BIN(RIGHT(Исходник!AC37,2)),"00000000")</f>
        <v/>
      </c>
      <c r="AE43" s="9">
        <f>TEXT(HEX2BIN(RIGHT(Исходник!AD37,2)),"00000000")</f>
        <v/>
      </c>
      <c r="AF43" s="9">
        <f>TEXT(HEX2BIN(RIGHT(Исходник!AE37,2)),"00000000")</f>
        <v/>
      </c>
      <c r="AG43" s="9">
        <f>TEXT(HEX2BIN(RIGHT(Исходник!AF37,2)),"00000000")</f>
        <v/>
      </c>
      <c r="AH43" s="9">
        <f>TEXT(HEX2BIN(RIGHT(Исходник!AG37,2)),"00000000")</f>
        <v/>
      </c>
      <c r="AI43" s="9">
        <f>TEXT(HEX2BIN(RIGHT(Исходник!AH37,2)),"00000000")</f>
        <v/>
      </c>
      <c r="AJ43" s="9">
        <f>TEXT(HEX2BIN(RIGHT(Исходник!AI37,2)),"00000000")</f>
        <v/>
      </c>
      <c r="AK43" s="107">
        <f>TEXT(HEX2BIN(RIGHT(Исходник!AJ37,2)),"00000000")</f>
        <v/>
      </c>
      <c r="AO43" s="113" t="n">
        <v>4</v>
      </c>
      <c r="AP43" s="113" t="inlineStr">
        <is>
          <t>OUTFLOW VALVE FEEDBACK ASSEMBLY</t>
        </is>
      </c>
    </row>
    <row r="44">
      <c r="C44" s="84">
        <f>Исходник!B38</f>
        <v/>
      </c>
      <c r="F44" s="9">
        <f>TEXT(HEX2BIN(RIGHT(Исходник!E38,2)),"00000000")</f>
        <v/>
      </c>
      <c r="G44" s="9">
        <f>TEXT(HEX2BIN(RIGHT(Исходник!F38,2)),"00000000")</f>
        <v/>
      </c>
      <c r="H44" s="9">
        <f>TEXT(HEX2BIN(RIGHT(Исходник!G38,2)),"00000000")</f>
        <v/>
      </c>
      <c r="I44" s="9">
        <f>TEXT(HEX2BIN(RIGHT(Исходник!H38,2)),"00000000")</f>
        <v/>
      </c>
      <c r="J44" s="9">
        <f>TEXT(HEX2BIN(RIGHT(Исходник!I38,2)),"00000000")</f>
        <v/>
      </c>
      <c r="K44" s="9">
        <f>TEXT(HEX2BIN(RIGHT(Исходник!J38,2)),"00000000")</f>
        <v/>
      </c>
      <c r="L44" s="9">
        <f>TEXT(HEX2BIN(RIGHT(Исходник!K38,2)),"00000000")</f>
        <v/>
      </c>
      <c r="M44" s="9">
        <f>TEXT(HEX2BIN(RIGHT(Исходник!L38,2)),"00000000")</f>
        <v/>
      </c>
      <c r="N44" s="9">
        <f>TEXT(HEX2BIN(RIGHT(Исходник!M38,2)),"00000000")</f>
        <v/>
      </c>
      <c r="O44" s="9">
        <f>TEXT(HEX2BIN(RIGHT(Исходник!N38,2)),"00000000")</f>
        <v/>
      </c>
      <c r="P44" s="9">
        <f>TEXT(HEX2BIN(RIGHT(Исходник!O38,2)),"00000000")</f>
        <v/>
      </c>
      <c r="Q44" s="9">
        <f>TEXT(HEX2BIN(RIGHT(Исходник!P38,2)),"00000000")</f>
        <v/>
      </c>
      <c r="R44" s="9">
        <f>TEXT(HEX2BIN(RIGHT(Исходник!Q38,2)),"00000000")</f>
        <v/>
      </c>
      <c r="S44" s="9">
        <f>TEXT(HEX2BIN(RIGHT(Исходник!R38,2)),"00000000")</f>
        <v/>
      </c>
      <c r="T44" s="9">
        <f>TEXT(HEX2BIN(RIGHT(Исходник!S38,2)),"00000000")</f>
        <v/>
      </c>
      <c r="U44" s="9">
        <f>TEXT(HEX2BIN(RIGHT(Исходник!T38,2)),"00000000")</f>
        <v/>
      </c>
      <c r="V44" s="9">
        <f>TEXT(HEX2BIN(RIGHT(Исходник!U38,2)),"00000000")</f>
        <v/>
      </c>
      <c r="W44" s="9">
        <f>TEXT(HEX2BIN(RIGHT(Исходник!V38,2)),"00000000")</f>
        <v/>
      </c>
      <c r="X44" s="9">
        <f>TEXT(HEX2BIN(RIGHT(Исходник!W38,2)),"00000000")</f>
        <v/>
      </c>
      <c r="Y44" s="9">
        <f>TEXT(HEX2BIN(RIGHT(Исходник!X38,2)),"00000000")</f>
        <v/>
      </c>
      <c r="Z44" s="9">
        <f>TEXT(HEX2BIN(RIGHT(Исходник!Y38,2)),"00000000")</f>
        <v/>
      </c>
      <c r="AA44" s="9">
        <f>TEXT(HEX2BIN(RIGHT(Исходник!Z38,2)),"00000000")</f>
        <v/>
      </c>
      <c r="AB44" s="9">
        <f>TEXT(HEX2BIN(RIGHT(Исходник!AA38,2)),"00000000")</f>
        <v/>
      </c>
      <c r="AC44" s="9">
        <f>TEXT(HEX2BIN(RIGHT(Исходник!AB38,2)),"00000000")</f>
        <v/>
      </c>
      <c r="AD44" s="9">
        <f>TEXT(HEX2BIN(RIGHT(Исходник!AC38,2)),"00000000")</f>
        <v/>
      </c>
      <c r="AE44" s="9">
        <f>TEXT(HEX2BIN(RIGHT(Исходник!AD38,2)),"00000000")</f>
        <v/>
      </c>
      <c r="AF44" s="9">
        <f>TEXT(HEX2BIN(RIGHT(Исходник!AE38,2)),"00000000")</f>
        <v/>
      </c>
      <c r="AG44" s="9">
        <f>TEXT(HEX2BIN(RIGHT(Исходник!AF38,2)),"00000000")</f>
        <v/>
      </c>
      <c r="AH44" s="9">
        <f>TEXT(HEX2BIN(RIGHT(Исходник!AG38,2)),"00000000")</f>
        <v/>
      </c>
      <c r="AI44" s="9">
        <f>TEXT(HEX2BIN(RIGHT(Исходник!AH38,2)),"00000000")</f>
        <v/>
      </c>
      <c r="AJ44" s="9">
        <f>TEXT(HEX2BIN(RIGHT(Исходник!AI38,2)),"00000000")</f>
        <v/>
      </c>
      <c r="AK44" s="107">
        <f>TEXT(HEX2BIN(RIGHT(Исходник!AJ38,2)),"00000000")</f>
        <v/>
      </c>
      <c r="AO44" s="113" t="n">
        <v>5</v>
      </c>
      <c r="AP44" s="113" t="inlineStr">
        <is>
          <t>UNDEFINED LRU</t>
        </is>
      </c>
    </row>
    <row r="45">
      <c r="C45" s="84">
        <f>Исходник!B39</f>
        <v/>
      </c>
      <c r="F45" s="9">
        <f>TEXT(HEX2BIN(RIGHT(Исходник!E39,2)),"00000000")</f>
        <v/>
      </c>
      <c r="G45" s="9">
        <f>TEXT(HEX2BIN(RIGHT(Исходник!F39,2)),"00000000")</f>
        <v/>
      </c>
      <c r="H45" s="9">
        <f>TEXT(HEX2BIN(RIGHT(Исходник!G39,2)),"00000000")</f>
        <v/>
      </c>
      <c r="I45" s="9">
        <f>TEXT(HEX2BIN(RIGHT(Исходник!H39,2)),"00000000")</f>
        <v/>
      </c>
      <c r="J45" s="9">
        <f>TEXT(HEX2BIN(RIGHT(Исходник!I39,2)),"00000000")</f>
        <v/>
      </c>
      <c r="K45" s="9">
        <f>TEXT(HEX2BIN(RIGHT(Исходник!J39,2)),"00000000")</f>
        <v/>
      </c>
      <c r="L45" s="9">
        <f>TEXT(HEX2BIN(RIGHT(Исходник!K39,2)),"00000000")</f>
        <v/>
      </c>
      <c r="M45" s="9">
        <f>TEXT(HEX2BIN(RIGHT(Исходник!L39,2)),"00000000")</f>
        <v/>
      </c>
      <c r="N45" s="9">
        <f>TEXT(HEX2BIN(RIGHT(Исходник!M39,2)),"00000000")</f>
        <v/>
      </c>
      <c r="O45" s="9">
        <f>TEXT(HEX2BIN(RIGHT(Исходник!N39,2)),"00000000")</f>
        <v/>
      </c>
      <c r="P45" s="9">
        <f>TEXT(HEX2BIN(RIGHT(Исходник!O39,2)),"00000000")</f>
        <v/>
      </c>
      <c r="Q45" s="9">
        <f>TEXT(HEX2BIN(RIGHT(Исходник!P39,2)),"00000000")</f>
        <v/>
      </c>
      <c r="R45" s="9">
        <f>TEXT(HEX2BIN(RIGHT(Исходник!Q39,2)),"00000000")</f>
        <v/>
      </c>
      <c r="S45" s="9">
        <f>TEXT(HEX2BIN(RIGHT(Исходник!R39,2)),"00000000")</f>
        <v/>
      </c>
      <c r="T45" s="9">
        <f>TEXT(HEX2BIN(RIGHT(Исходник!S39,2)),"00000000")</f>
        <v/>
      </c>
      <c r="U45" s="9">
        <f>TEXT(HEX2BIN(RIGHT(Исходник!T39,2)),"00000000")</f>
        <v/>
      </c>
      <c r="V45" s="9">
        <f>TEXT(HEX2BIN(RIGHT(Исходник!U39,2)),"00000000")</f>
        <v/>
      </c>
      <c r="W45" s="9">
        <f>TEXT(HEX2BIN(RIGHT(Исходник!V39,2)),"00000000")</f>
        <v/>
      </c>
      <c r="X45" s="9">
        <f>TEXT(HEX2BIN(RIGHT(Исходник!W39,2)),"00000000")</f>
        <v/>
      </c>
      <c r="Y45" s="9">
        <f>TEXT(HEX2BIN(RIGHT(Исходник!X39,2)),"00000000")</f>
        <v/>
      </c>
      <c r="Z45" s="9">
        <f>TEXT(HEX2BIN(RIGHT(Исходник!Y39,2)),"00000000")</f>
        <v/>
      </c>
      <c r="AA45" s="9">
        <f>TEXT(HEX2BIN(RIGHT(Исходник!Z39,2)),"00000000")</f>
        <v/>
      </c>
      <c r="AB45" s="9">
        <f>TEXT(HEX2BIN(RIGHT(Исходник!AA39,2)),"00000000")</f>
        <v/>
      </c>
      <c r="AC45" s="9">
        <f>TEXT(HEX2BIN(RIGHT(Исходник!AB39,2)),"00000000")</f>
        <v/>
      </c>
      <c r="AD45" s="9">
        <f>TEXT(HEX2BIN(RIGHT(Исходник!AC39,2)),"00000000")</f>
        <v/>
      </c>
      <c r="AE45" s="9">
        <f>TEXT(HEX2BIN(RIGHT(Исходник!AD39,2)),"00000000")</f>
        <v/>
      </c>
      <c r="AF45" s="9">
        <f>TEXT(HEX2BIN(RIGHT(Исходник!AE39,2)),"00000000")</f>
        <v/>
      </c>
      <c r="AG45" s="9">
        <f>TEXT(HEX2BIN(RIGHT(Исходник!AF39,2)),"00000000")</f>
        <v/>
      </c>
      <c r="AH45" s="9">
        <f>TEXT(HEX2BIN(RIGHT(Исходник!AG39,2)),"00000000")</f>
        <v/>
      </c>
      <c r="AI45" s="9">
        <f>TEXT(HEX2BIN(RIGHT(Исходник!AH39,2)),"00000000")</f>
        <v/>
      </c>
      <c r="AJ45" s="9">
        <f>TEXT(HEX2BIN(RIGHT(Исходник!AI39,2)),"00000000")</f>
        <v/>
      </c>
      <c r="AK45" s="107">
        <f>TEXT(HEX2BIN(RIGHT(Исходник!AJ39,2)),"00000000")</f>
        <v/>
      </c>
      <c r="AO45" s="113" t="n">
        <v>6</v>
      </c>
      <c r="AP45" s="113" t="inlineStr">
        <is>
          <t>UNDEFINED LRU</t>
        </is>
      </c>
    </row>
    <row r="46">
      <c r="C46" s="84">
        <f>Исходник!B40</f>
        <v/>
      </c>
      <c r="F46" s="9">
        <f>TEXT(HEX2BIN(RIGHT(Исходник!E40,2)),"00000000")</f>
        <v/>
      </c>
      <c r="G46" s="9">
        <f>TEXT(HEX2BIN(RIGHT(Исходник!F40,2)),"00000000")</f>
        <v/>
      </c>
      <c r="H46" s="9">
        <f>TEXT(HEX2BIN(RIGHT(Исходник!G40,2)),"00000000")</f>
        <v/>
      </c>
      <c r="I46" s="9">
        <f>TEXT(HEX2BIN(RIGHT(Исходник!H40,2)),"00000000")</f>
        <v/>
      </c>
      <c r="J46" s="9">
        <f>TEXT(HEX2BIN(RIGHT(Исходник!I40,2)),"00000000")</f>
        <v/>
      </c>
      <c r="K46" s="9">
        <f>TEXT(HEX2BIN(RIGHT(Исходник!J40,2)),"00000000")</f>
        <v/>
      </c>
      <c r="L46" s="9">
        <f>TEXT(HEX2BIN(RIGHT(Исходник!K40,2)),"00000000")</f>
        <v/>
      </c>
      <c r="M46" s="9">
        <f>TEXT(HEX2BIN(RIGHT(Исходник!L40,2)),"00000000")</f>
        <v/>
      </c>
      <c r="N46" s="9">
        <f>TEXT(HEX2BIN(RIGHT(Исходник!M40,2)),"00000000")</f>
        <v/>
      </c>
      <c r="O46" s="9">
        <f>TEXT(HEX2BIN(RIGHT(Исходник!N40,2)),"00000000")</f>
        <v/>
      </c>
      <c r="P46" s="9">
        <f>TEXT(HEX2BIN(RIGHT(Исходник!O40,2)),"00000000")</f>
        <v/>
      </c>
      <c r="Q46" s="9">
        <f>TEXT(HEX2BIN(RIGHT(Исходник!P40,2)),"00000000")</f>
        <v/>
      </c>
      <c r="R46" s="9">
        <f>TEXT(HEX2BIN(RIGHT(Исходник!Q40,2)),"00000000")</f>
        <v/>
      </c>
      <c r="S46" s="9">
        <f>TEXT(HEX2BIN(RIGHT(Исходник!R40,2)),"00000000")</f>
        <v/>
      </c>
      <c r="T46" s="9">
        <f>TEXT(HEX2BIN(RIGHT(Исходник!S40,2)),"00000000")</f>
        <v/>
      </c>
      <c r="U46" s="9">
        <f>TEXT(HEX2BIN(RIGHT(Исходник!T40,2)),"00000000")</f>
        <v/>
      </c>
      <c r="V46" s="9">
        <f>TEXT(HEX2BIN(RIGHT(Исходник!U40,2)),"00000000")</f>
        <v/>
      </c>
      <c r="W46" s="9">
        <f>TEXT(HEX2BIN(RIGHT(Исходник!V40,2)),"00000000")</f>
        <v/>
      </c>
      <c r="X46" s="9">
        <f>TEXT(HEX2BIN(RIGHT(Исходник!W40,2)),"00000000")</f>
        <v/>
      </c>
      <c r="Y46" s="9">
        <f>TEXT(HEX2BIN(RIGHT(Исходник!X40,2)),"00000000")</f>
        <v/>
      </c>
      <c r="Z46" s="9">
        <f>TEXT(HEX2BIN(RIGHT(Исходник!Y40,2)),"00000000")</f>
        <v/>
      </c>
      <c r="AA46" s="9">
        <f>TEXT(HEX2BIN(RIGHT(Исходник!Z40,2)),"00000000")</f>
        <v/>
      </c>
      <c r="AB46" s="9">
        <f>TEXT(HEX2BIN(RIGHT(Исходник!AA40,2)),"00000000")</f>
        <v/>
      </c>
      <c r="AC46" s="9">
        <f>TEXT(HEX2BIN(RIGHT(Исходник!AB40,2)),"00000000")</f>
        <v/>
      </c>
      <c r="AD46" s="9">
        <f>TEXT(HEX2BIN(RIGHT(Исходник!AC40,2)),"00000000")</f>
        <v/>
      </c>
      <c r="AE46" s="9">
        <f>TEXT(HEX2BIN(RIGHT(Исходник!AD40,2)),"00000000")</f>
        <v/>
      </c>
      <c r="AF46" s="9">
        <f>TEXT(HEX2BIN(RIGHT(Исходник!AE40,2)),"00000000")</f>
        <v/>
      </c>
      <c r="AG46" s="9">
        <f>TEXT(HEX2BIN(RIGHT(Исходник!AF40,2)),"00000000")</f>
        <v/>
      </c>
      <c r="AH46" s="9">
        <f>TEXT(HEX2BIN(RIGHT(Исходник!AG40,2)),"00000000")</f>
        <v/>
      </c>
      <c r="AI46" s="9">
        <f>TEXT(HEX2BIN(RIGHT(Исходник!AH40,2)),"00000000")</f>
        <v/>
      </c>
      <c r="AJ46" s="9">
        <f>TEXT(HEX2BIN(RIGHT(Исходник!AI40,2)),"00000000")</f>
        <v/>
      </c>
      <c r="AK46" s="107">
        <f>TEXT(HEX2BIN(RIGHT(Исходник!AJ40,2)),"00000000")</f>
        <v/>
      </c>
      <c r="AO46" s="113" t="n">
        <v>7</v>
      </c>
      <c r="AP46" s="113" t="inlineStr">
        <is>
          <t>UNDEFINED LRU</t>
        </is>
      </c>
    </row>
    <row r="47">
      <c r="C47" s="84">
        <f>Исходник!B41</f>
        <v/>
      </c>
      <c r="F47" s="9">
        <f>TEXT(HEX2BIN(RIGHT(Исходник!E41,2)),"00000000")</f>
        <v/>
      </c>
      <c r="G47" s="9">
        <f>TEXT(HEX2BIN(RIGHT(Исходник!F41,2)),"00000000")</f>
        <v/>
      </c>
      <c r="H47" s="9">
        <f>TEXT(HEX2BIN(RIGHT(Исходник!G41,2)),"00000000")</f>
        <v/>
      </c>
      <c r="I47" s="9">
        <f>TEXT(HEX2BIN(RIGHT(Исходник!H41,2)),"00000000")</f>
        <v/>
      </c>
      <c r="J47" s="9">
        <f>TEXT(HEX2BIN(RIGHT(Исходник!I41,2)),"00000000")</f>
        <v/>
      </c>
      <c r="K47" s="9">
        <f>TEXT(HEX2BIN(RIGHT(Исходник!J41,2)),"00000000")</f>
        <v/>
      </c>
      <c r="L47" s="9">
        <f>TEXT(HEX2BIN(RIGHT(Исходник!K41,2)),"00000000")</f>
        <v/>
      </c>
      <c r="M47" s="9">
        <f>TEXT(HEX2BIN(RIGHT(Исходник!L41,2)),"00000000")</f>
        <v/>
      </c>
      <c r="N47" s="9">
        <f>TEXT(HEX2BIN(RIGHT(Исходник!M41,2)),"00000000")</f>
        <v/>
      </c>
      <c r="O47" s="9">
        <f>TEXT(HEX2BIN(RIGHT(Исходник!N41,2)),"00000000")</f>
        <v/>
      </c>
      <c r="P47" s="9">
        <f>TEXT(HEX2BIN(RIGHT(Исходник!O41,2)),"00000000")</f>
        <v/>
      </c>
      <c r="Q47" s="9">
        <f>TEXT(HEX2BIN(RIGHT(Исходник!P41,2)),"00000000")</f>
        <v/>
      </c>
      <c r="R47" s="9">
        <f>TEXT(HEX2BIN(RIGHT(Исходник!Q41,2)),"00000000")</f>
        <v/>
      </c>
      <c r="S47" s="9">
        <f>TEXT(HEX2BIN(RIGHT(Исходник!R41,2)),"00000000")</f>
        <v/>
      </c>
      <c r="T47" s="9">
        <f>TEXT(HEX2BIN(RIGHT(Исходник!S41,2)),"00000000")</f>
        <v/>
      </c>
      <c r="U47" s="9">
        <f>TEXT(HEX2BIN(RIGHT(Исходник!T41,2)),"00000000")</f>
        <v/>
      </c>
      <c r="V47" s="9">
        <f>TEXT(HEX2BIN(RIGHT(Исходник!U41,2)),"00000000")</f>
        <v/>
      </c>
      <c r="W47" s="9">
        <f>TEXT(HEX2BIN(RIGHT(Исходник!V41,2)),"00000000")</f>
        <v/>
      </c>
      <c r="X47" s="9">
        <f>TEXT(HEX2BIN(RIGHT(Исходник!W41,2)),"00000000")</f>
        <v/>
      </c>
      <c r="Y47" s="9">
        <f>TEXT(HEX2BIN(RIGHT(Исходник!X41,2)),"00000000")</f>
        <v/>
      </c>
      <c r="Z47" s="9">
        <f>TEXT(HEX2BIN(RIGHT(Исходник!Y41,2)),"00000000")</f>
        <v/>
      </c>
      <c r="AA47" s="9">
        <f>TEXT(HEX2BIN(RIGHT(Исходник!Z41,2)),"00000000")</f>
        <v/>
      </c>
      <c r="AB47" s="9">
        <f>TEXT(HEX2BIN(RIGHT(Исходник!AA41,2)),"00000000")</f>
        <v/>
      </c>
      <c r="AC47" s="9">
        <f>TEXT(HEX2BIN(RIGHT(Исходник!AB41,2)),"00000000")</f>
        <v/>
      </c>
      <c r="AD47" s="9">
        <f>TEXT(HEX2BIN(RIGHT(Исходник!AC41,2)),"00000000")</f>
        <v/>
      </c>
      <c r="AE47" s="9">
        <f>TEXT(HEX2BIN(RIGHT(Исходник!AD41,2)),"00000000")</f>
        <v/>
      </c>
      <c r="AF47" s="9">
        <f>TEXT(HEX2BIN(RIGHT(Исходник!AE41,2)),"00000000")</f>
        <v/>
      </c>
      <c r="AG47" s="9">
        <f>TEXT(HEX2BIN(RIGHT(Исходник!AF41,2)),"00000000")</f>
        <v/>
      </c>
      <c r="AH47" s="9">
        <f>TEXT(HEX2BIN(RIGHT(Исходник!AG41,2)),"00000000")</f>
        <v/>
      </c>
      <c r="AI47" s="9">
        <f>TEXT(HEX2BIN(RIGHT(Исходник!AH41,2)),"00000000")</f>
        <v/>
      </c>
      <c r="AJ47" s="9">
        <f>TEXT(HEX2BIN(RIGHT(Исходник!AI41,2)),"00000000")</f>
        <v/>
      </c>
      <c r="AK47" s="107">
        <f>TEXT(HEX2BIN(RIGHT(Исходник!AJ41,2)),"00000000")</f>
        <v/>
      </c>
      <c r="AO47" s="113" t="n">
        <v>8</v>
      </c>
      <c r="AP47" s="113" t="inlineStr">
        <is>
          <t>ADIRS1 DATA OUT OF RANGE</t>
        </is>
      </c>
    </row>
    <row r="48">
      <c r="C48" s="84">
        <f>Исходник!B42</f>
        <v/>
      </c>
      <c r="F48" s="9">
        <f>TEXT(HEX2BIN(RIGHT(Исходник!E42,2)),"00000000")</f>
        <v/>
      </c>
      <c r="G48" s="9">
        <f>TEXT(HEX2BIN(RIGHT(Исходник!F42,2)),"00000000")</f>
        <v/>
      </c>
      <c r="H48" s="9">
        <f>TEXT(HEX2BIN(RIGHT(Исходник!G42,2)),"00000000")</f>
        <v/>
      </c>
      <c r="I48" s="9">
        <f>TEXT(HEX2BIN(RIGHT(Исходник!H42,2)),"00000000")</f>
        <v/>
      </c>
      <c r="J48" s="9">
        <f>TEXT(HEX2BIN(RIGHT(Исходник!I42,2)),"00000000")</f>
        <v/>
      </c>
      <c r="K48" s="9">
        <f>TEXT(HEX2BIN(RIGHT(Исходник!J42,2)),"00000000")</f>
        <v/>
      </c>
      <c r="L48" s="9">
        <f>TEXT(HEX2BIN(RIGHT(Исходник!K42,2)),"00000000")</f>
        <v/>
      </c>
      <c r="M48" s="9">
        <f>TEXT(HEX2BIN(RIGHT(Исходник!L42,2)),"00000000")</f>
        <v/>
      </c>
      <c r="N48" s="9">
        <f>TEXT(HEX2BIN(RIGHT(Исходник!M42,2)),"00000000")</f>
        <v/>
      </c>
      <c r="O48" s="9">
        <f>TEXT(HEX2BIN(RIGHT(Исходник!N42,2)),"00000000")</f>
        <v/>
      </c>
      <c r="P48" s="9">
        <f>TEXT(HEX2BIN(RIGHT(Исходник!O42,2)),"00000000")</f>
        <v/>
      </c>
      <c r="Q48" s="9">
        <f>TEXT(HEX2BIN(RIGHT(Исходник!P42,2)),"00000000")</f>
        <v/>
      </c>
      <c r="R48" s="9">
        <f>TEXT(HEX2BIN(RIGHT(Исходник!Q42,2)),"00000000")</f>
        <v/>
      </c>
      <c r="S48" s="9">
        <f>TEXT(HEX2BIN(RIGHT(Исходник!R42,2)),"00000000")</f>
        <v/>
      </c>
      <c r="T48" s="9">
        <f>TEXT(HEX2BIN(RIGHT(Исходник!S42,2)),"00000000")</f>
        <v/>
      </c>
      <c r="U48" s="9">
        <f>TEXT(HEX2BIN(RIGHT(Исходник!T42,2)),"00000000")</f>
        <v/>
      </c>
      <c r="V48" s="9">
        <f>TEXT(HEX2BIN(RIGHT(Исходник!U42,2)),"00000000")</f>
        <v/>
      </c>
      <c r="W48" s="9">
        <f>TEXT(HEX2BIN(RIGHT(Исходник!V42,2)),"00000000")</f>
        <v/>
      </c>
      <c r="X48" s="9">
        <f>TEXT(HEX2BIN(RIGHT(Исходник!W42,2)),"00000000")</f>
        <v/>
      </c>
      <c r="Y48" s="9">
        <f>TEXT(HEX2BIN(RIGHT(Исходник!X42,2)),"00000000")</f>
        <v/>
      </c>
      <c r="Z48" s="9">
        <f>TEXT(HEX2BIN(RIGHT(Исходник!Y42,2)),"00000000")</f>
        <v/>
      </c>
      <c r="AA48" s="9">
        <f>TEXT(HEX2BIN(RIGHT(Исходник!Z42,2)),"00000000")</f>
        <v/>
      </c>
      <c r="AB48" s="9">
        <f>TEXT(HEX2BIN(RIGHT(Исходник!AA42,2)),"00000000")</f>
        <v/>
      </c>
      <c r="AC48" s="9">
        <f>TEXT(HEX2BIN(RIGHT(Исходник!AB42,2)),"00000000")</f>
        <v/>
      </c>
      <c r="AD48" s="9">
        <f>TEXT(HEX2BIN(RIGHT(Исходник!AC42,2)),"00000000")</f>
        <v/>
      </c>
      <c r="AE48" s="9">
        <f>TEXT(HEX2BIN(RIGHT(Исходник!AD42,2)),"00000000")</f>
        <v/>
      </c>
      <c r="AF48" s="9">
        <f>TEXT(HEX2BIN(RIGHT(Исходник!AE42,2)),"00000000")</f>
        <v/>
      </c>
      <c r="AG48" s="9">
        <f>TEXT(HEX2BIN(RIGHT(Исходник!AF42,2)),"00000000")</f>
        <v/>
      </c>
      <c r="AH48" s="9">
        <f>TEXT(HEX2BIN(RIGHT(Исходник!AG42,2)),"00000000")</f>
        <v/>
      </c>
      <c r="AI48" s="9">
        <f>TEXT(HEX2BIN(RIGHT(Исходник!AH42,2)),"00000000")</f>
        <v/>
      </c>
      <c r="AJ48" s="9">
        <f>TEXT(HEX2BIN(RIGHT(Исходник!AI42,2)),"00000000")</f>
        <v/>
      </c>
      <c r="AK48" s="107">
        <f>TEXT(HEX2BIN(RIGHT(Исходник!AJ42,2)),"00000000")</f>
        <v/>
      </c>
      <c r="AO48" s="113" t="n">
        <v>9</v>
      </c>
      <c r="AP48" s="113" t="inlineStr">
        <is>
          <t>ADIRS2 DATA OUT OF RANGE</t>
        </is>
      </c>
    </row>
    <row r="49">
      <c r="C49" s="84">
        <f>Исходник!B43</f>
        <v/>
      </c>
      <c r="F49" s="9">
        <f>TEXT(HEX2BIN(RIGHT(Исходник!E43,2)),"00000000")</f>
        <v/>
      </c>
      <c r="G49" s="9">
        <f>TEXT(HEX2BIN(RIGHT(Исходник!F43,2)),"00000000")</f>
        <v/>
      </c>
      <c r="H49" s="9">
        <f>TEXT(HEX2BIN(RIGHT(Исходник!G43,2)),"00000000")</f>
        <v/>
      </c>
      <c r="I49" s="9">
        <f>TEXT(HEX2BIN(RIGHT(Исходник!H43,2)),"00000000")</f>
        <v/>
      </c>
      <c r="J49" s="9">
        <f>TEXT(HEX2BIN(RIGHT(Исходник!I43,2)),"00000000")</f>
        <v/>
      </c>
      <c r="K49" s="9">
        <f>TEXT(HEX2BIN(RIGHT(Исходник!J43,2)),"00000000")</f>
        <v/>
      </c>
      <c r="L49" s="9">
        <f>TEXT(HEX2BIN(RIGHT(Исходник!K43,2)),"00000000")</f>
        <v/>
      </c>
      <c r="M49" s="9">
        <f>TEXT(HEX2BIN(RIGHT(Исходник!L43,2)),"00000000")</f>
        <v/>
      </c>
      <c r="N49" s="9">
        <f>TEXT(HEX2BIN(RIGHT(Исходник!M43,2)),"00000000")</f>
        <v/>
      </c>
      <c r="O49" s="9">
        <f>TEXT(HEX2BIN(RIGHT(Исходник!N43,2)),"00000000")</f>
        <v/>
      </c>
      <c r="P49" s="9">
        <f>TEXT(HEX2BIN(RIGHT(Исходник!O43,2)),"00000000")</f>
        <v/>
      </c>
      <c r="Q49" s="9">
        <f>TEXT(HEX2BIN(RIGHT(Исходник!P43,2)),"00000000")</f>
        <v/>
      </c>
      <c r="R49" s="9">
        <f>TEXT(HEX2BIN(RIGHT(Исходник!Q43,2)),"00000000")</f>
        <v/>
      </c>
      <c r="S49" s="9">
        <f>TEXT(HEX2BIN(RIGHT(Исходник!R43,2)),"00000000")</f>
        <v/>
      </c>
      <c r="T49" s="9">
        <f>TEXT(HEX2BIN(RIGHT(Исходник!S43,2)),"00000000")</f>
        <v/>
      </c>
      <c r="U49" s="9">
        <f>TEXT(HEX2BIN(RIGHT(Исходник!T43,2)),"00000000")</f>
        <v/>
      </c>
      <c r="V49" s="9">
        <f>TEXT(HEX2BIN(RIGHT(Исходник!U43,2)),"00000000")</f>
        <v/>
      </c>
      <c r="W49" s="9">
        <f>TEXT(HEX2BIN(RIGHT(Исходник!V43,2)),"00000000")</f>
        <v/>
      </c>
      <c r="X49" s="9">
        <f>TEXT(HEX2BIN(RIGHT(Исходник!W43,2)),"00000000")</f>
        <v/>
      </c>
      <c r="Y49" s="9">
        <f>TEXT(HEX2BIN(RIGHT(Исходник!X43,2)),"00000000")</f>
        <v/>
      </c>
      <c r="Z49" s="9">
        <f>TEXT(HEX2BIN(RIGHT(Исходник!Y43,2)),"00000000")</f>
        <v/>
      </c>
      <c r="AA49" s="9">
        <f>TEXT(HEX2BIN(RIGHT(Исходник!Z43,2)),"00000000")</f>
        <v/>
      </c>
      <c r="AB49" s="9">
        <f>TEXT(HEX2BIN(RIGHT(Исходник!AA43,2)),"00000000")</f>
        <v/>
      </c>
      <c r="AC49" s="9">
        <f>TEXT(HEX2BIN(RIGHT(Исходник!AB43,2)),"00000000")</f>
        <v/>
      </c>
      <c r="AD49" s="9">
        <f>TEXT(HEX2BIN(RIGHT(Исходник!AC43,2)),"00000000")</f>
        <v/>
      </c>
      <c r="AE49" s="9">
        <f>TEXT(HEX2BIN(RIGHT(Исходник!AD43,2)),"00000000")</f>
        <v/>
      </c>
      <c r="AF49" s="9">
        <f>TEXT(HEX2BIN(RIGHT(Исходник!AE43,2)),"00000000")</f>
        <v/>
      </c>
      <c r="AG49" s="9">
        <f>TEXT(HEX2BIN(RIGHT(Исходник!AF43,2)),"00000000")</f>
        <v/>
      </c>
      <c r="AH49" s="9">
        <f>TEXT(HEX2BIN(RIGHT(Исходник!AG43,2)),"00000000")</f>
        <v/>
      </c>
      <c r="AI49" s="9">
        <f>TEXT(HEX2BIN(RIGHT(Исходник!AH43,2)),"00000000")</f>
        <v/>
      </c>
      <c r="AJ49" s="9">
        <f>TEXT(HEX2BIN(RIGHT(Исходник!AI43,2)),"00000000")</f>
        <v/>
      </c>
      <c r="AK49" s="107">
        <f>TEXT(HEX2BIN(RIGHT(Исходник!AJ43,2)),"00000000")</f>
        <v/>
      </c>
      <c r="AO49" s="113" t="n">
        <v>10</v>
      </c>
      <c r="AP49" s="113" t="inlineStr">
        <is>
          <t>ADIRS3 DATA OUT OF RANGE</t>
        </is>
      </c>
    </row>
    <row r="50">
      <c r="C50" s="84">
        <f>Исходник!B44</f>
        <v/>
      </c>
      <c r="F50" s="9">
        <f>TEXT(HEX2BIN(RIGHT(Исходник!E44,2)),"00000000")</f>
        <v/>
      </c>
      <c r="G50" s="9">
        <f>TEXT(HEX2BIN(RIGHT(Исходник!F44,2)),"00000000")</f>
        <v/>
      </c>
      <c r="H50" s="9">
        <f>TEXT(HEX2BIN(RIGHT(Исходник!G44,2)),"00000000")</f>
        <v/>
      </c>
      <c r="I50" s="9">
        <f>TEXT(HEX2BIN(RIGHT(Исходник!H44,2)),"00000000")</f>
        <v/>
      </c>
      <c r="J50" s="9">
        <f>TEXT(HEX2BIN(RIGHT(Исходник!I44,2)),"00000000")</f>
        <v/>
      </c>
      <c r="K50" s="9">
        <f>TEXT(HEX2BIN(RIGHT(Исходник!J44,2)),"00000000")</f>
        <v/>
      </c>
      <c r="L50" s="9">
        <f>TEXT(HEX2BIN(RIGHT(Исходник!K44,2)),"00000000")</f>
        <v/>
      </c>
      <c r="M50" s="9">
        <f>TEXT(HEX2BIN(RIGHT(Исходник!L44,2)),"00000000")</f>
        <v/>
      </c>
      <c r="N50" s="9">
        <f>TEXT(HEX2BIN(RIGHT(Исходник!M44,2)),"00000000")</f>
        <v/>
      </c>
      <c r="O50" s="9">
        <f>TEXT(HEX2BIN(RIGHT(Исходник!N44,2)),"00000000")</f>
        <v/>
      </c>
      <c r="P50" s="9">
        <f>TEXT(HEX2BIN(RIGHT(Исходник!O44,2)),"00000000")</f>
        <v/>
      </c>
      <c r="Q50" s="9">
        <f>TEXT(HEX2BIN(RIGHT(Исходник!P44,2)),"00000000")</f>
        <v/>
      </c>
      <c r="R50" s="9">
        <f>TEXT(HEX2BIN(RIGHT(Исходник!Q44,2)),"00000000")</f>
        <v/>
      </c>
      <c r="S50" s="9">
        <f>TEXT(HEX2BIN(RIGHT(Исходник!R44,2)),"00000000")</f>
        <v/>
      </c>
      <c r="T50" s="9">
        <f>TEXT(HEX2BIN(RIGHT(Исходник!S44,2)),"00000000")</f>
        <v/>
      </c>
      <c r="U50" s="9">
        <f>TEXT(HEX2BIN(RIGHT(Исходник!T44,2)),"00000000")</f>
        <v/>
      </c>
      <c r="V50" s="9">
        <f>TEXT(HEX2BIN(RIGHT(Исходник!U44,2)),"00000000")</f>
        <v/>
      </c>
      <c r="W50" s="9">
        <f>TEXT(HEX2BIN(RIGHT(Исходник!V44,2)),"00000000")</f>
        <v/>
      </c>
      <c r="X50" s="9">
        <f>TEXT(HEX2BIN(RIGHT(Исходник!W44,2)),"00000000")</f>
        <v/>
      </c>
      <c r="Y50" s="9">
        <f>TEXT(HEX2BIN(RIGHT(Исходник!X44,2)),"00000000")</f>
        <v/>
      </c>
      <c r="Z50" s="9">
        <f>TEXT(HEX2BIN(RIGHT(Исходник!Y44,2)),"00000000")</f>
        <v/>
      </c>
      <c r="AA50" s="9">
        <f>TEXT(HEX2BIN(RIGHT(Исходник!Z44,2)),"00000000")</f>
        <v/>
      </c>
      <c r="AB50" s="9">
        <f>TEXT(HEX2BIN(RIGHT(Исходник!AA44,2)),"00000000")</f>
        <v/>
      </c>
      <c r="AC50" s="9">
        <f>TEXT(HEX2BIN(RIGHT(Исходник!AB44,2)),"00000000")</f>
        <v/>
      </c>
      <c r="AD50" s="9">
        <f>TEXT(HEX2BIN(RIGHT(Исходник!AC44,2)),"00000000")</f>
        <v/>
      </c>
      <c r="AE50" s="9">
        <f>TEXT(HEX2BIN(RIGHT(Исходник!AD44,2)),"00000000")</f>
        <v/>
      </c>
      <c r="AF50" s="9">
        <f>TEXT(HEX2BIN(RIGHT(Исходник!AE44,2)),"00000000")</f>
        <v/>
      </c>
      <c r="AG50" s="9">
        <f>TEXT(HEX2BIN(RIGHT(Исходник!AF44,2)),"00000000")</f>
        <v/>
      </c>
      <c r="AH50" s="9">
        <f>TEXT(HEX2BIN(RIGHT(Исходник!AG44,2)),"00000000")</f>
        <v/>
      </c>
      <c r="AI50" s="9">
        <f>TEXT(HEX2BIN(RIGHT(Исходник!AH44,2)),"00000000")</f>
        <v/>
      </c>
      <c r="AJ50" s="9">
        <f>TEXT(HEX2BIN(RIGHT(Исходник!AI44,2)),"00000000")</f>
        <v/>
      </c>
      <c r="AK50" s="107">
        <f>TEXT(HEX2BIN(RIGHT(Исходник!AJ44,2)),"00000000")</f>
        <v/>
      </c>
      <c r="AO50" s="113" t="n">
        <v>11</v>
      </c>
      <c r="AP50" s="113" t="inlineStr">
        <is>
          <t>FMGS1 DATA OUT OF RANGE</t>
        </is>
      </c>
    </row>
    <row r="51">
      <c r="C51" s="112">
        <f>Исходник!B45</f>
        <v/>
      </c>
      <c r="D51" s="95" t="n"/>
      <c r="E51" s="95" t="n"/>
      <c r="F51" s="110">
        <f>Исходник!E45</f>
        <v/>
      </c>
      <c r="G51" s="110">
        <f>Исходник!F45</f>
        <v/>
      </c>
      <c r="H51" s="110">
        <f>Исходник!G45</f>
        <v/>
      </c>
      <c r="I51" s="110">
        <f>Исходник!H45</f>
        <v/>
      </c>
      <c r="J51" s="110">
        <f>Исходник!I45</f>
        <v/>
      </c>
      <c r="K51" s="110">
        <f>Исходник!J45</f>
        <v/>
      </c>
      <c r="L51" s="110">
        <f>Исходник!K45</f>
        <v/>
      </c>
      <c r="M51" s="110">
        <f>Исходник!L45</f>
        <v/>
      </c>
      <c r="N51" s="110">
        <f>Исходник!M45</f>
        <v/>
      </c>
      <c r="O51" s="110">
        <f>Исходник!N45</f>
        <v/>
      </c>
      <c r="P51" s="110">
        <f>Исходник!O45</f>
        <v/>
      </c>
      <c r="Q51" s="110">
        <f>Исходник!P45</f>
        <v/>
      </c>
      <c r="R51" s="110">
        <f>Исходник!Q45</f>
        <v/>
      </c>
      <c r="S51" s="110">
        <f>Исходник!R45</f>
        <v/>
      </c>
      <c r="T51" s="110">
        <f>Исходник!S45</f>
        <v/>
      </c>
      <c r="U51" s="110">
        <f>Исходник!T45</f>
        <v/>
      </c>
      <c r="V51" s="110">
        <f>Исходник!U45</f>
        <v/>
      </c>
      <c r="W51" s="110">
        <f>Исходник!V45</f>
        <v/>
      </c>
      <c r="X51" s="110">
        <f>Исходник!W45</f>
        <v/>
      </c>
      <c r="Y51" s="110">
        <f>Исходник!X45</f>
        <v/>
      </c>
      <c r="Z51" s="110">
        <f>Исходник!Y45</f>
        <v/>
      </c>
      <c r="AA51" s="110">
        <f>Исходник!Z45</f>
        <v/>
      </c>
      <c r="AB51" s="110">
        <f>Исходник!AA45</f>
        <v/>
      </c>
      <c r="AC51" s="110">
        <f>Исходник!AB45</f>
        <v/>
      </c>
      <c r="AD51" s="110">
        <f>Исходник!AC45</f>
        <v/>
      </c>
      <c r="AE51" s="110">
        <f>Исходник!AD45</f>
        <v/>
      </c>
      <c r="AF51" s="110">
        <f>Исходник!AE45</f>
        <v/>
      </c>
      <c r="AG51" s="110">
        <f>Исходник!AF45</f>
        <v/>
      </c>
      <c r="AH51" s="110">
        <f>Исходник!AG45</f>
        <v/>
      </c>
      <c r="AI51" s="110">
        <f>Исходник!AH45</f>
        <v/>
      </c>
      <c r="AJ51" s="110">
        <f>Исходник!AI45</f>
        <v/>
      </c>
      <c r="AK51" s="111">
        <f>Исходник!AJ45</f>
        <v/>
      </c>
      <c r="AO51" s="113" t="n">
        <v>12</v>
      </c>
      <c r="AP51" s="113" t="inlineStr">
        <is>
          <t>FMGS2 DATA OUT OF RANGE</t>
        </is>
      </c>
    </row>
    <row r="52">
      <c r="AO52" s="113" t="n">
        <v>13</v>
      </c>
      <c r="AP52" s="113" t="inlineStr">
        <is>
          <t>NO DATA FROM FMGS1</t>
        </is>
      </c>
    </row>
    <row r="53" ht="21" customHeight="1"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6" t="inlineStr">
        <is>
          <t>РАСШИФРОВКА</t>
        </is>
      </c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O53" s="113" t="n">
        <v>14</v>
      </c>
      <c r="AP53" s="113" t="inlineStr">
        <is>
          <t>NO DATA FROM ADIRS1</t>
        </is>
      </c>
    </row>
    <row r="54">
      <c r="AO54" s="113" t="n">
        <v>15</v>
      </c>
      <c r="AP54" s="113" t="inlineStr">
        <is>
          <t>NO DATA FROM ADIRS2</t>
        </is>
      </c>
    </row>
    <row r="55">
      <c r="F55" s="9" t="n">
        <v>0</v>
      </c>
      <c r="G55" s="9" t="n">
        <v>1</v>
      </c>
      <c r="H55" s="9" t="n">
        <v>2</v>
      </c>
      <c r="I55" s="9" t="n">
        <v>3</v>
      </c>
      <c r="J55" s="9" t="n">
        <v>4</v>
      </c>
      <c r="K55" s="9" t="n">
        <v>5</v>
      </c>
      <c r="L55" s="9" t="n">
        <v>6</v>
      </c>
      <c r="M55" s="9" t="n">
        <v>7</v>
      </c>
      <c r="N55" s="9" t="n">
        <v>8</v>
      </c>
      <c r="O55" s="9" t="n">
        <v>9</v>
      </c>
      <c r="P55" s="9" t="n">
        <v>10</v>
      </c>
      <c r="Q55" s="9" t="n">
        <v>11</v>
      </c>
      <c r="R55" s="9" t="n">
        <v>12</v>
      </c>
      <c r="S55" s="9" t="n">
        <v>13</v>
      </c>
      <c r="T55" s="9" t="n">
        <v>14</v>
      </c>
      <c r="U55" s="9" t="n">
        <v>15</v>
      </c>
      <c r="V55" s="9" t="n">
        <v>16</v>
      </c>
      <c r="W55" s="9" t="n">
        <v>17</v>
      </c>
      <c r="X55" s="9" t="n">
        <v>18</v>
      </c>
      <c r="Y55" s="9" t="n">
        <v>19</v>
      </c>
      <c r="Z55" s="9" t="n">
        <v>20</v>
      </c>
      <c r="AA55" s="9" t="n">
        <v>21</v>
      </c>
      <c r="AB55" s="9" t="n">
        <v>22</v>
      </c>
      <c r="AC55" s="9" t="n">
        <v>23</v>
      </c>
      <c r="AD55" s="9" t="n">
        <v>24</v>
      </c>
      <c r="AE55" s="9" t="n">
        <v>25</v>
      </c>
      <c r="AF55" s="9" t="n">
        <v>26</v>
      </c>
      <c r="AG55" s="9" t="n">
        <v>27</v>
      </c>
      <c r="AH55" s="9" t="n">
        <v>28</v>
      </c>
      <c r="AI55" s="9" t="n">
        <v>29</v>
      </c>
      <c r="AJ55" s="9" t="n">
        <v>30</v>
      </c>
      <c r="AK55" s="9" t="n">
        <v>31</v>
      </c>
      <c r="AO55" s="113" t="n">
        <v>16</v>
      </c>
      <c r="AP55" s="113" t="inlineStr">
        <is>
          <t>NO DATA FROM ADIRS3</t>
        </is>
      </c>
    </row>
    <row r="56" customFormat="1" s="7">
      <c r="B56" s="7" t="n">
        <v>0</v>
      </c>
      <c r="C56" s="13" t="inlineStr">
        <is>
          <t>RAM_FAILED_REG</t>
        </is>
      </c>
      <c r="F56" s="14">
        <f>IF(MID(F$39,8,1)="1",1,"")</f>
        <v/>
      </c>
      <c r="G56" s="14">
        <f>IF(MID(G$39,8,1)="1",1,"")</f>
        <v/>
      </c>
      <c r="H56" s="14">
        <f>IF(MID(H$39,8,1)="1",1,"")</f>
        <v/>
      </c>
      <c r="I56" s="14">
        <f>IF(MID(I$39,8,1)="1",1,"")</f>
        <v/>
      </c>
      <c r="J56" s="14">
        <f>IF(MID(J$39,8,1)="1",1,"")</f>
        <v/>
      </c>
      <c r="K56" s="14">
        <f>IF(MID(K$39,8,1)="1",1,"")</f>
        <v/>
      </c>
      <c r="L56" s="14">
        <f>IF(MID(L$39,8,1)="1",1,"")</f>
        <v/>
      </c>
      <c r="M56" s="14">
        <f>IF(MID(M$39,8,1)="1",1,"")</f>
        <v/>
      </c>
      <c r="N56" s="14">
        <f>IF(MID(N$39,8,1)="1",1,"")</f>
        <v/>
      </c>
      <c r="O56" s="14">
        <f>IF(MID(O$39,8,1)="1",1,"")</f>
        <v/>
      </c>
      <c r="P56" s="14">
        <f>IF(MID(P$39,8,1)="1",1,"")</f>
        <v/>
      </c>
      <c r="Q56" s="14">
        <f>IF(MID(Q$39,8,1)="1",1,"")</f>
        <v/>
      </c>
      <c r="R56" s="14">
        <f>IF(MID(R$39,8,1)="1",1,"")</f>
        <v/>
      </c>
      <c r="S56" s="14">
        <f>IF(MID(S$39,8,1)="1",1,"")</f>
        <v/>
      </c>
      <c r="T56" s="14">
        <f>IF(MID(T$39,8,1)="1",1,"")</f>
        <v/>
      </c>
      <c r="U56" s="14">
        <f>IF(MID(U$39,8,1)="1",1,"")</f>
        <v/>
      </c>
      <c r="V56" s="14">
        <f>IF(MID(V$39,8,1)="1",1,"")</f>
        <v/>
      </c>
      <c r="W56" s="14">
        <f>IF(MID(W$39,8,1)="1",1,"")</f>
        <v/>
      </c>
      <c r="X56" s="14">
        <f>IF(MID(X$39,8,1)="1",1,"")</f>
        <v/>
      </c>
      <c r="Y56" s="14">
        <f>IF(MID(Y$39,8,1)="1",1,"")</f>
        <v/>
      </c>
      <c r="Z56" s="14">
        <f>IF(MID(Z$39,8,1)="1",1,"")</f>
        <v/>
      </c>
      <c r="AA56" s="14">
        <f>IF(MID(AA$39,8,1)="1",1,"")</f>
        <v/>
      </c>
      <c r="AB56" s="14">
        <f>IF(MID(AB$39,8,1)="1",1,"")</f>
        <v/>
      </c>
      <c r="AC56" s="14">
        <f>IF(MID(AC$39,8,1)="1",1,"")</f>
        <v/>
      </c>
      <c r="AD56" s="14">
        <f>IF(MID(AD$39,8,1)="1",1,"")</f>
        <v/>
      </c>
      <c r="AE56" s="14">
        <f>IF(MID(AE$39,8,1)="1",1,"")</f>
        <v/>
      </c>
      <c r="AF56" s="14">
        <f>IF(MID(AF$39,8,1)="1",1,"")</f>
        <v/>
      </c>
      <c r="AG56" s="14">
        <f>IF(MID(AG$39,8,1)="1",1,"")</f>
        <v/>
      </c>
      <c r="AH56" s="14">
        <f>IF(MID(AH$39,8,1)="1",1,"")</f>
        <v/>
      </c>
      <c r="AI56" s="14">
        <f>IF(MID(AI$39,8,1)="1",1,"")</f>
        <v/>
      </c>
      <c r="AJ56" s="14">
        <f>IF(MID(AJ$39,8,1)="1",1,"")</f>
        <v/>
      </c>
      <c r="AK56" s="14">
        <f>IF(MID(AK$39,8,1)="1",1,"")</f>
        <v/>
      </c>
      <c r="AO56" s="113" t="n">
        <v>17</v>
      </c>
      <c r="AP56" s="113" t="inlineStr">
        <is>
          <t>NO DATA FROM FMGS2</t>
        </is>
      </c>
    </row>
    <row r="57">
      <c r="B57" t="n">
        <v>1</v>
      </c>
      <c r="C57" s="15" t="inlineStr">
        <is>
          <t>RAM_FAILED_RAM</t>
        </is>
      </c>
      <c r="F57" s="9">
        <f>IF(MID(F$39,7,1)="1",1,"")</f>
        <v/>
      </c>
      <c r="G57" s="9">
        <f>IF(MID(G$39,7,1)="1",1,"")</f>
        <v/>
      </c>
      <c r="H57" s="9">
        <f>IF(MID(H$39,7,1)="1",1,"")</f>
        <v/>
      </c>
      <c r="I57" s="9">
        <f>IF(MID(I$39,7,1)="1",1,"")</f>
        <v/>
      </c>
      <c r="J57" s="9">
        <f>IF(MID(J$39,7,1)="1",1,"")</f>
        <v/>
      </c>
      <c r="K57" s="9">
        <f>IF(MID(K$39,7,1)="1",1,"")</f>
        <v/>
      </c>
      <c r="L57" s="9">
        <f>IF(MID(L$39,7,1)="1",1,"")</f>
        <v/>
      </c>
      <c r="M57" s="9">
        <f>IF(MID(M$39,7,1)="1",1,"")</f>
        <v/>
      </c>
      <c r="N57" s="9">
        <f>IF(MID(N$39,7,1)="1",1,"")</f>
        <v/>
      </c>
      <c r="O57" s="9">
        <f>IF(MID(O$39,7,1)="1",1,"")</f>
        <v/>
      </c>
      <c r="P57" s="9">
        <f>IF(MID(P$39,7,1)="1",1,"")</f>
        <v/>
      </c>
      <c r="Q57" s="9">
        <f>IF(MID(Q$39,7,1)="1",1,"")</f>
        <v/>
      </c>
      <c r="R57" s="9">
        <f>IF(MID(R$39,7,1)="1",1,"")</f>
        <v/>
      </c>
      <c r="S57" s="9">
        <f>IF(MID(S$39,7,1)="1",1,"")</f>
        <v/>
      </c>
      <c r="T57" s="9">
        <f>IF(MID(T$39,7,1)="1",1,"")</f>
        <v/>
      </c>
      <c r="U57" s="9">
        <f>IF(MID(U$39,7,1)="1",1,"")</f>
        <v/>
      </c>
      <c r="V57" s="9">
        <f>IF(MID(V$39,7,1)="1",1,"")</f>
        <v/>
      </c>
      <c r="W57" s="9">
        <f>IF(MID(W$39,7,1)="1",1,"")</f>
        <v/>
      </c>
      <c r="X57" s="9">
        <f>IF(MID(X$39,7,1)="1",1,"")</f>
        <v/>
      </c>
      <c r="Y57" s="9">
        <f>IF(MID(Y$39,7,1)="1",1,"")</f>
        <v/>
      </c>
      <c r="Z57" s="9">
        <f>IF(MID(Z$39,7,1)="1",1,"")</f>
        <v/>
      </c>
      <c r="AA57" s="9">
        <f>IF(MID(AA$39,7,1)="1",1,"")</f>
        <v/>
      </c>
      <c r="AB57" s="9">
        <f>IF(MID(AB$39,7,1)="1",1,"")</f>
        <v/>
      </c>
      <c r="AC57" s="9">
        <f>IF(MID(AC$39,7,1)="1",1,"")</f>
        <v/>
      </c>
      <c r="AD57" s="9">
        <f>IF(MID(AD$39,7,1)="1",1,"")</f>
        <v/>
      </c>
      <c r="AE57" s="9">
        <f>IF(MID(AE$39,7,1)="1",1,"")</f>
        <v/>
      </c>
      <c r="AF57" s="9">
        <f>IF(MID(AF$39,7,1)="1",1,"")</f>
        <v/>
      </c>
      <c r="AG57" s="9">
        <f>IF(MID(AG$39,7,1)="1",1,"")</f>
        <v/>
      </c>
      <c r="AH57" s="9">
        <f>IF(MID(AH$39,7,1)="1",1,"")</f>
        <v/>
      </c>
      <c r="AI57" s="9">
        <f>IF(MID(AI$39,7,1)="1",1,"")</f>
        <v/>
      </c>
      <c r="AJ57" s="9">
        <f>IF(MID(AJ$39,7,1)="1",1,"")</f>
        <v/>
      </c>
      <c r="AK57" s="9">
        <f>IF(MID(AK$39,7,1)="1",1,"")</f>
        <v/>
      </c>
      <c r="AO57" s="113" t="n">
        <v>18</v>
      </c>
      <c r="AP57" s="113" t="inlineStr">
        <is>
          <t>OUTFLOW VALVE BLOCKED</t>
        </is>
      </c>
    </row>
    <row r="58" customFormat="1" s="7">
      <c r="B58" s="7" t="n">
        <v>2</v>
      </c>
      <c r="C58" s="13" t="inlineStr">
        <is>
          <t>FMS1_DATA_OUT_OF_RANGE</t>
        </is>
      </c>
      <c r="F58" s="14">
        <f>IF(MID(F$39,6,1)="1",1,"")</f>
        <v/>
      </c>
      <c r="G58" s="14">
        <f>IF(MID(G$39,6,1)="1",1,"")</f>
        <v/>
      </c>
      <c r="H58" s="14">
        <f>IF(MID(H$39,6,1)="1",1,"")</f>
        <v/>
      </c>
      <c r="I58" s="14">
        <f>IF(MID(I$39,6,1)="1",1,"")</f>
        <v/>
      </c>
      <c r="J58" s="14">
        <f>IF(MID(J$39,6,1)="1",1,"")</f>
        <v/>
      </c>
      <c r="K58" s="14">
        <f>IF(MID(K$39,6,1)="1",1,"")</f>
        <v/>
      </c>
      <c r="L58" s="14">
        <f>IF(MID(L$39,6,1)="1",1,"")</f>
        <v/>
      </c>
      <c r="M58" s="14">
        <f>IF(MID(M$39,6,1)="1",1,"")</f>
        <v/>
      </c>
      <c r="N58" s="14">
        <f>IF(MID(N$39,6,1)="1",1,"")</f>
        <v/>
      </c>
      <c r="O58" s="14">
        <f>IF(MID(O$39,6,1)="1",1,"")</f>
        <v/>
      </c>
      <c r="P58" s="14">
        <f>IF(MID(P$39,6,1)="1",1,"")</f>
        <v/>
      </c>
      <c r="Q58" s="14">
        <f>IF(MID(Q$39,6,1)="1",1,"")</f>
        <v/>
      </c>
      <c r="R58" s="14">
        <f>IF(MID(R$39,6,1)="1",1,"")</f>
        <v/>
      </c>
      <c r="S58" s="14">
        <f>IF(MID(S$39,6,1)="1",1,"")</f>
        <v/>
      </c>
      <c r="T58" s="14">
        <f>IF(MID(T$39,6,1)="1",1,"")</f>
        <v/>
      </c>
      <c r="U58" s="14">
        <f>IF(MID(U$39,6,1)="1",1,"")</f>
        <v/>
      </c>
      <c r="V58" s="14">
        <f>IF(MID(V$39,6,1)="1",1,"")</f>
        <v/>
      </c>
      <c r="W58" s="14">
        <f>IF(MID(W$39,6,1)="1",1,"")</f>
        <v/>
      </c>
      <c r="X58" s="14">
        <f>IF(MID(X$39,6,1)="1",1,"")</f>
        <v/>
      </c>
      <c r="Y58" s="14">
        <f>IF(MID(Y$39,6,1)="1",1,"")</f>
        <v/>
      </c>
      <c r="Z58" s="14">
        <f>IF(MID(Z$39,6,1)="1",1,"")</f>
        <v/>
      </c>
      <c r="AA58" s="14">
        <f>IF(MID(AA$39,6,1)="1",1,"")</f>
        <v/>
      </c>
      <c r="AB58" s="14">
        <f>IF(MID(AB$39,6,1)="1",1,"")</f>
        <v/>
      </c>
      <c r="AC58" s="14">
        <f>IF(MID(AC$39,6,1)="1",1,"")</f>
        <v/>
      </c>
      <c r="AD58" s="14">
        <f>IF(MID(AD$39,6,1)="1",1,"")</f>
        <v/>
      </c>
      <c r="AE58" s="14">
        <f>IF(MID(AE$39,6,1)="1",1,"")</f>
        <v/>
      </c>
      <c r="AF58" s="14">
        <f>IF(MID(AF$39,6,1)="1",1,"")</f>
        <v/>
      </c>
      <c r="AG58" s="14">
        <f>IF(MID(AG$39,6,1)="1",1,"")</f>
        <v/>
      </c>
      <c r="AH58" s="14">
        <f>IF(MID(AH$39,6,1)="1",1,"")</f>
        <v/>
      </c>
      <c r="AI58" s="14">
        <f>IF(MID(AI$39,6,1)="1",1,"")</f>
        <v/>
      </c>
      <c r="AJ58" s="14">
        <f>IF(MID(AJ$39,6,1)="1",1,"")</f>
        <v/>
      </c>
      <c r="AK58" s="14">
        <f>IF(MID(AK$39,6,1)="1",1,"")</f>
        <v/>
      </c>
      <c r="AO58" s="113" t="n">
        <v>19</v>
      </c>
      <c r="AP58" s="113" t="inlineStr">
        <is>
          <t>LGCIU SIGNAL REPLACED</t>
        </is>
      </c>
    </row>
    <row r="59">
      <c r="B59" t="n">
        <v>3</v>
      </c>
      <c r="C59" s="15" t="inlineStr">
        <is>
          <t>FMS2_DATA_OUT_OF_RANGE</t>
        </is>
      </c>
      <c r="F59" s="9">
        <f>IF(MID(F$39,5,1)="1",1,"")</f>
        <v/>
      </c>
      <c r="G59" s="9">
        <f>IF(MID(G$39,5,1)="1",1,"")</f>
        <v/>
      </c>
      <c r="H59" s="9">
        <f>IF(MID(H$39,5,1)="1",1,"")</f>
        <v/>
      </c>
      <c r="I59" s="9">
        <f>IF(MID(I$39,5,1)="1",1,"")</f>
        <v/>
      </c>
      <c r="J59" s="9">
        <f>IF(MID(J$39,5,1)="1",1,"")</f>
        <v/>
      </c>
      <c r="K59" s="9">
        <f>IF(MID(K$39,5,1)="1",1,"")</f>
        <v/>
      </c>
      <c r="L59" s="9">
        <f>IF(MID(L$39,5,1)="1",1,"")</f>
        <v/>
      </c>
      <c r="M59" s="9">
        <f>IF(MID(M$39,5,1)="1",1,"")</f>
        <v/>
      </c>
      <c r="N59" s="9">
        <f>IF(MID(N$39,5,1)="1",1,"")</f>
        <v/>
      </c>
      <c r="O59" s="9">
        <f>IF(MID(O$39,5,1)="1",1,"")</f>
        <v/>
      </c>
      <c r="P59" s="9">
        <f>IF(MID(P$39,5,1)="1",1,"")</f>
        <v/>
      </c>
      <c r="Q59" s="9">
        <f>IF(MID(Q$39,5,1)="1",1,"")</f>
        <v/>
      </c>
      <c r="R59" s="9">
        <f>IF(MID(R$39,5,1)="1",1,"")</f>
        <v/>
      </c>
      <c r="S59" s="9">
        <f>IF(MID(S$39,5,1)="1",1,"")</f>
        <v/>
      </c>
      <c r="T59" s="9">
        <f>IF(MID(T$39,5,1)="1",1,"")</f>
        <v/>
      </c>
      <c r="U59" s="9">
        <f>IF(MID(U$39,5,1)="1",1,"")</f>
        <v/>
      </c>
      <c r="V59" s="9">
        <f>IF(MID(V$39,5,1)="1",1,"")</f>
        <v/>
      </c>
      <c r="W59" s="9">
        <f>IF(MID(W$39,5,1)="1",1,"")</f>
        <v/>
      </c>
      <c r="X59" s="9">
        <f>IF(MID(X$39,5,1)="1",1,"")</f>
        <v/>
      </c>
      <c r="Y59" s="9">
        <f>IF(MID(Y$39,5,1)="1",1,"")</f>
        <v/>
      </c>
      <c r="Z59" s="9">
        <f>IF(MID(Z$39,5,1)="1",1,"")</f>
        <v/>
      </c>
      <c r="AA59" s="9">
        <f>IF(MID(AA$39,5,1)="1",1,"")</f>
        <v/>
      </c>
      <c r="AB59" s="9">
        <f>IF(MID(AB$39,5,1)="1",1,"")</f>
        <v/>
      </c>
      <c r="AC59" s="9">
        <f>IF(MID(AC$39,5,1)="1",1,"")</f>
        <v/>
      </c>
      <c r="AD59" s="9">
        <f>IF(MID(AD$39,5,1)="1",1,"")</f>
        <v/>
      </c>
      <c r="AE59" s="9">
        <f>IF(MID(AE$39,5,1)="1",1,"")</f>
        <v/>
      </c>
      <c r="AF59" s="9">
        <f>IF(MID(AF$39,5,1)="1",1,"")</f>
        <v/>
      </c>
      <c r="AG59" s="9">
        <f>IF(MID(AG$39,5,1)="1",1,"")</f>
        <v/>
      </c>
      <c r="AH59" s="9">
        <f>IF(MID(AH$39,5,1)="1",1,"")</f>
        <v/>
      </c>
      <c r="AI59" s="9">
        <f>IF(MID(AI$39,5,1)="1",1,"")</f>
        <v/>
      </c>
      <c r="AJ59" s="9">
        <f>IF(MID(AJ$39,5,1)="1",1,"")</f>
        <v/>
      </c>
      <c r="AK59" s="9">
        <f>IF(MID(AK$39,5,1)="1",1,"")</f>
        <v/>
      </c>
      <c r="AO59" s="113" t="n">
        <v>20</v>
      </c>
      <c r="AP59" s="113" t="inlineStr">
        <is>
          <t>EIU SIGNAL REPLACED</t>
        </is>
      </c>
    </row>
    <row r="60" customFormat="1" s="7">
      <c r="B60" s="7" t="n">
        <v>4</v>
      </c>
      <c r="C60" s="13" t="inlineStr">
        <is>
          <t>ACT_STATUS_FAIL</t>
        </is>
      </c>
      <c r="F60" s="14">
        <f>IF(MID(F$39,4,1)="1",1,"")</f>
        <v/>
      </c>
      <c r="G60" s="14">
        <f>IF(MID(G$39,4,1)="1",1,"")</f>
        <v/>
      </c>
      <c r="H60" s="14">
        <f>IF(MID(H$39,4,1)="1",1,"")</f>
        <v/>
      </c>
      <c r="I60" s="14">
        <f>IF(MID(I$39,4,1)="1",1,"")</f>
        <v/>
      </c>
      <c r="J60" s="14">
        <f>IF(MID(J$39,4,1)="1",1,"")</f>
        <v/>
      </c>
      <c r="K60" s="14">
        <f>IF(MID(K$39,4,1)="1",1,"")</f>
        <v/>
      </c>
      <c r="L60" s="14">
        <f>IF(MID(L$39,4,1)="1",1,"")</f>
        <v/>
      </c>
      <c r="M60" s="14">
        <f>IF(MID(M$39,4,1)="1",1,"")</f>
        <v/>
      </c>
      <c r="N60" s="14">
        <f>IF(MID(N$39,4,1)="1",1,"")</f>
        <v/>
      </c>
      <c r="O60" s="14">
        <f>IF(MID(O$39,4,1)="1",1,"")</f>
        <v/>
      </c>
      <c r="P60" s="14">
        <f>IF(MID(P$39,4,1)="1",1,"")</f>
        <v/>
      </c>
      <c r="Q60" s="14">
        <f>IF(MID(Q$39,4,1)="1",1,"")</f>
        <v/>
      </c>
      <c r="R60" s="14">
        <f>IF(MID(R$39,4,1)="1",1,"")</f>
        <v/>
      </c>
      <c r="S60" s="14">
        <f>IF(MID(S$39,4,1)="1",1,"")</f>
        <v/>
      </c>
      <c r="T60" s="14">
        <f>IF(MID(T$39,4,1)="1",1,"")</f>
        <v/>
      </c>
      <c r="U60" s="14">
        <f>IF(MID(U$39,4,1)="1",1,"")</f>
        <v/>
      </c>
      <c r="V60" s="14">
        <f>IF(MID(V$39,4,1)="1",1,"")</f>
        <v/>
      </c>
      <c r="W60" s="14">
        <f>IF(MID(W$39,4,1)="1",1,"")</f>
        <v/>
      </c>
      <c r="X60" s="14">
        <f>IF(MID(X$39,4,1)="1",1,"")</f>
        <v/>
      </c>
      <c r="Y60" s="14">
        <f>IF(MID(Y$39,4,1)="1",1,"")</f>
        <v/>
      </c>
      <c r="Z60" s="14">
        <f>IF(MID(Z$39,4,1)="1",1,"")</f>
        <v/>
      </c>
      <c r="AA60" s="14">
        <f>IF(MID(AA$39,4,1)="1",1,"")</f>
        <v/>
      </c>
      <c r="AB60" s="14">
        <f>IF(MID(AB$39,4,1)="1",1,"")</f>
        <v/>
      </c>
      <c r="AC60" s="14">
        <f>IF(MID(AC$39,4,1)="1",1,"")</f>
        <v/>
      </c>
      <c r="AD60" s="14">
        <f>IF(MID(AD$39,4,1)="1",1,"")</f>
        <v/>
      </c>
      <c r="AE60" s="14">
        <f>IF(MID(AE$39,4,1)="1",1,"")</f>
        <v/>
      </c>
      <c r="AF60" s="14">
        <f>IF(MID(AF$39,4,1)="1",1,"")</f>
        <v/>
      </c>
      <c r="AG60" s="14">
        <f>IF(MID(AG$39,4,1)="1",1,"")</f>
        <v/>
      </c>
      <c r="AH60" s="14">
        <f>IF(MID(AH$39,4,1)="1",1,"")</f>
        <v/>
      </c>
      <c r="AI60" s="14">
        <f>IF(MID(AI$39,4,1)="1",1,"")</f>
        <v/>
      </c>
      <c r="AJ60" s="14">
        <f>IF(MID(AJ$39,4,1)="1",1,"")</f>
        <v/>
      </c>
      <c r="AK60" s="14">
        <f>IF(MID(AK$39,4,1)="1",1,"")</f>
        <v/>
      </c>
      <c r="AO60" s="114" t="n">
        <v>255</v>
      </c>
      <c r="AP60" s="113" t="inlineStr">
        <is>
          <t>NOT INITIALIZED</t>
        </is>
      </c>
    </row>
    <row r="61">
      <c r="B61" t="n">
        <v>5</v>
      </c>
      <c r="C61" s="15" t="inlineStr">
        <is>
          <t>CAL_TIME_OPEN_FAIL</t>
        </is>
      </c>
      <c r="F61" s="9">
        <f>IF(MID(F$39,3,1)="1",1,"")</f>
        <v/>
      </c>
      <c r="G61" s="9">
        <f>IF(MID(G$39,3,1)="1",1,"")</f>
        <v/>
      </c>
      <c r="H61" s="9">
        <f>IF(MID(H$39,3,1)="1",1,"")</f>
        <v/>
      </c>
      <c r="I61" s="9">
        <f>IF(MID(I$39,3,1)="1",1,"")</f>
        <v/>
      </c>
      <c r="J61" s="9">
        <f>IF(MID(J$39,3,1)="1",1,"")</f>
        <v/>
      </c>
      <c r="K61" s="9">
        <f>IF(MID(K$39,3,1)="1",1,"")</f>
        <v/>
      </c>
      <c r="L61" s="9">
        <f>IF(MID(L$39,3,1)="1",1,"")</f>
        <v/>
      </c>
      <c r="M61" s="9">
        <f>IF(MID(M$39,3,1)="1",1,"")</f>
        <v/>
      </c>
      <c r="N61" s="9">
        <f>IF(MID(N$39,3,1)="1",1,"")</f>
        <v/>
      </c>
      <c r="O61" s="9">
        <f>IF(MID(O$39,3,1)="1",1,"")</f>
        <v/>
      </c>
      <c r="P61" s="9">
        <f>IF(MID(P$39,3,1)="1",1,"")</f>
        <v/>
      </c>
      <c r="Q61" s="9">
        <f>IF(MID(Q$39,3,1)="1",1,"")</f>
        <v/>
      </c>
      <c r="R61" s="9">
        <f>IF(MID(R$39,3,1)="1",1,"")</f>
        <v/>
      </c>
      <c r="S61" s="9">
        <f>IF(MID(S$39,3,1)="1",1,"")</f>
        <v/>
      </c>
      <c r="T61" s="9">
        <f>IF(MID(T$39,3,1)="1",1,"")</f>
        <v/>
      </c>
      <c r="U61" s="9">
        <f>IF(MID(U$39,3,1)="1",1,"")</f>
        <v/>
      </c>
      <c r="V61" s="9">
        <f>IF(MID(V$39,3,1)="1",1,"")</f>
        <v/>
      </c>
      <c r="W61" s="9">
        <f>IF(MID(W$39,3,1)="1",1,"")</f>
        <v/>
      </c>
      <c r="X61" s="9">
        <f>IF(MID(X$39,3,1)="1",1,"")</f>
        <v/>
      </c>
      <c r="Y61" s="9">
        <f>IF(MID(Y$39,3,1)="1",1,"")</f>
        <v/>
      </c>
      <c r="Z61" s="9">
        <f>IF(MID(Z$39,3,1)="1",1,"")</f>
        <v/>
      </c>
      <c r="AA61" s="9">
        <f>IF(MID(AA$39,3,1)="1",1,"")</f>
        <v/>
      </c>
      <c r="AB61" s="9">
        <f>IF(MID(AB$39,3,1)="1",1,"")</f>
        <v/>
      </c>
      <c r="AC61" s="9">
        <f>IF(MID(AC$39,3,1)="1",1,"")</f>
        <v/>
      </c>
      <c r="AD61" s="9">
        <f>IF(MID(AD$39,3,1)="1",1,"")</f>
        <v/>
      </c>
      <c r="AE61" s="9">
        <f>IF(MID(AE$39,3,1)="1",1,"")</f>
        <v/>
      </c>
      <c r="AF61" s="9">
        <f>IF(MID(AF$39,3,1)="1",1,"")</f>
        <v/>
      </c>
      <c r="AG61" s="9">
        <f>IF(MID(AG$39,3,1)="1",1,"")</f>
        <v/>
      </c>
      <c r="AH61" s="9">
        <f>IF(MID(AH$39,3,1)="1",1,"")</f>
        <v/>
      </c>
      <c r="AI61" s="9">
        <f>IF(MID(AI$39,3,1)="1",1,"")</f>
        <v/>
      </c>
      <c r="AJ61" s="9">
        <f>IF(MID(AJ$39,3,1)="1",1,"")</f>
        <v/>
      </c>
      <c r="AK61" s="9">
        <f>IF(MID(AK$39,3,1)="1",1,"")</f>
        <v/>
      </c>
    </row>
    <row r="62" customFormat="1" s="7">
      <c r="B62" s="7" t="n">
        <v>6</v>
      </c>
      <c r="C62" s="13" t="inlineStr">
        <is>
          <t>PC_MISMATCH_FAIL</t>
        </is>
      </c>
      <c r="F62" s="14">
        <f>IF(MID(F$39,2,1)="1",1,"")</f>
        <v/>
      </c>
      <c r="G62" s="14">
        <f>IF(MID(G$39,2,1)="1",1,"")</f>
        <v/>
      </c>
      <c r="H62" s="14">
        <f>IF(MID(H$39,2,1)="1",1,"")</f>
        <v/>
      </c>
      <c r="I62" s="14">
        <f>IF(MID(I$39,2,1)="1",1,"")</f>
        <v/>
      </c>
      <c r="J62" s="14">
        <f>IF(MID(J$39,2,1)="1",1,"")</f>
        <v/>
      </c>
      <c r="K62" s="14">
        <f>IF(MID(K$39,2,1)="1",1,"")</f>
        <v/>
      </c>
      <c r="L62" s="14">
        <f>IF(MID(L$39,2,1)="1",1,"")</f>
        <v/>
      </c>
      <c r="M62" s="14">
        <f>IF(MID(M$39,2,1)="1",1,"")</f>
        <v/>
      </c>
      <c r="N62" s="14">
        <f>IF(MID(N$39,2,1)="1",1,"")</f>
        <v/>
      </c>
      <c r="O62" s="14">
        <f>IF(MID(O$39,2,1)="1",1,"")</f>
        <v/>
      </c>
      <c r="P62" s="14">
        <f>IF(MID(P$39,2,1)="1",1,"")</f>
        <v/>
      </c>
      <c r="Q62" s="14">
        <f>IF(MID(Q$39,2,1)="1",1,"")</f>
        <v/>
      </c>
      <c r="R62" s="14">
        <f>IF(MID(R$39,2,1)="1",1,"")</f>
        <v/>
      </c>
      <c r="S62" s="14">
        <f>IF(MID(S$39,2,1)="1",1,"")</f>
        <v/>
      </c>
      <c r="T62" s="14">
        <f>IF(MID(T$39,2,1)="1",1,"")</f>
        <v/>
      </c>
      <c r="U62" s="14">
        <f>IF(MID(U$39,2,1)="1",1,"")</f>
        <v/>
      </c>
      <c r="V62" s="14">
        <f>IF(MID(V$39,2,1)="1",1,"")</f>
        <v/>
      </c>
      <c r="W62" s="14">
        <f>IF(MID(W$39,2,1)="1",1,"")</f>
        <v/>
      </c>
      <c r="X62" s="14">
        <f>IF(MID(X$39,2,1)="1",1,"")</f>
        <v/>
      </c>
      <c r="Y62" s="14">
        <f>IF(MID(Y$39,2,1)="1",1,"")</f>
        <v/>
      </c>
      <c r="Z62" s="14">
        <f>IF(MID(Z$39,2,1)="1",1,"")</f>
        <v/>
      </c>
      <c r="AA62" s="14">
        <f>IF(MID(AA$39,2,1)="1",1,"")</f>
        <v/>
      </c>
      <c r="AB62" s="14">
        <f>IF(MID(AB$39,2,1)="1",1,"")</f>
        <v/>
      </c>
      <c r="AC62" s="14">
        <f>IF(MID(AC$39,2,1)="1",1,"")</f>
        <v/>
      </c>
      <c r="AD62" s="14">
        <f>IF(MID(AD$39,2,1)="1",1,"")</f>
        <v/>
      </c>
      <c r="AE62" s="14">
        <f>IF(MID(AE$39,2,1)="1",1,"")</f>
        <v/>
      </c>
      <c r="AF62" s="14">
        <f>IF(MID(AF$39,2,1)="1",1,"")</f>
        <v/>
      </c>
      <c r="AG62" s="14">
        <f>IF(MID(AG$39,2,1)="1",1,"")</f>
        <v/>
      </c>
      <c r="AH62" s="14">
        <f>IF(MID(AH$39,2,1)="1",1,"")</f>
        <v/>
      </c>
      <c r="AI62" s="14">
        <f>IF(MID(AI$39,2,1)="1",1,"")</f>
        <v/>
      </c>
      <c r="AJ62" s="14">
        <f>IF(MID(AJ$39,2,1)="1",1,"")</f>
        <v/>
      </c>
      <c r="AK62" s="14">
        <f>IF(MID(AK$39,2,1)="1",1,"")</f>
        <v/>
      </c>
    </row>
    <row r="63">
      <c r="B63" t="n">
        <v>7</v>
      </c>
      <c r="C63" s="15" t="inlineStr">
        <is>
          <t>PC_EBOX_FAIL</t>
        </is>
      </c>
      <c r="F63" s="9">
        <f>IF(MID(F$39,1,1)="1",1,"")</f>
        <v/>
      </c>
      <c r="G63" s="9">
        <f>IF(MID(G$39,1,1)="1",1,"")</f>
        <v/>
      </c>
      <c r="H63" s="9">
        <f>IF(MID(H$39,1,1)="1",1,"")</f>
        <v/>
      </c>
      <c r="I63" s="9">
        <f>IF(MID(I$39,1,1)="1",1,"")</f>
        <v/>
      </c>
      <c r="J63" s="9">
        <f>IF(MID(J$39,1,1)="1",1,"")</f>
        <v/>
      </c>
      <c r="K63" s="9">
        <f>IF(MID(K$39,1,1)="1",1,"")</f>
        <v/>
      </c>
      <c r="L63" s="9">
        <f>IF(MID(L$39,1,1)="1",1,"")</f>
        <v/>
      </c>
      <c r="M63" s="9">
        <f>IF(MID(M$39,1,1)="1",1,"")</f>
        <v/>
      </c>
      <c r="N63" s="9">
        <f>IF(MID(N$39,1,1)="1",1,"")</f>
        <v/>
      </c>
      <c r="O63" s="9">
        <f>IF(MID(O$39,1,1)="1",1,"")</f>
        <v/>
      </c>
      <c r="P63" s="9">
        <f>IF(MID(P$39,1,1)="1",1,"")</f>
        <v/>
      </c>
      <c r="Q63" s="9">
        <f>IF(MID(Q$39,1,1)="1",1,"")</f>
        <v/>
      </c>
      <c r="R63" s="9">
        <f>IF(MID(R$39,1,1)="1",1,"")</f>
        <v/>
      </c>
      <c r="S63" s="9">
        <f>IF(MID(S$39,1,1)="1",1,"")</f>
        <v/>
      </c>
      <c r="T63" s="9">
        <f>IF(MID(T$39,1,1)="1",1,"")</f>
        <v/>
      </c>
      <c r="U63" s="9">
        <f>IF(MID(U$39,1,1)="1",1,"")</f>
        <v/>
      </c>
      <c r="V63" s="9">
        <f>IF(MID(V$39,1,1)="1",1,"")</f>
        <v/>
      </c>
      <c r="W63" s="9">
        <f>IF(MID(W$39,1,1)="1",1,"")</f>
        <v/>
      </c>
      <c r="X63" s="9">
        <f>IF(MID(X$39,1,1)="1",1,"")</f>
        <v/>
      </c>
      <c r="Y63" s="9">
        <f>IF(MID(Y$39,1,1)="1",1,"")</f>
        <v/>
      </c>
      <c r="Z63" s="9">
        <f>IF(MID(Z$39,1,1)="1",1,"")</f>
        <v/>
      </c>
      <c r="AA63" s="9">
        <f>IF(MID(AA$39,1,1)="1",1,"")</f>
        <v/>
      </c>
      <c r="AB63" s="9">
        <f>IF(MID(AB$39,1,1)="1",1,"")</f>
        <v/>
      </c>
      <c r="AC63" s="9">
        <f>IF(MID(AC$39,1,1)="1",1,"")</f>
        <v/>
      </c>
      <c r="AD63" s="9">
        <f>IF(MID(AD$39,1,1)="1",1,"")</f>
        <v/>
      </c>
      <c r="AE63" s="9">
        <f>IF(MID(AE$39,1,1)="1",1,"")</f>
        <v/>
      </c>
      <c r="AF63" s="9">
        <f>IF(MID(AF$39,1,1)="1",1,"")</f>
        <v/>
      </c>
      <c r="AG63" s="9">
        <f>IF(MID(AG$39,1,1)="1",1,"")</f>
        <v/>
      </c>
      <c r="AH63" s="9">
        <f>IF(MID(AH$39,1,1)="1",1,"")</f>
        <v/>
      </c>
      <c r="AI63" s="9">
        <f>IF(MID(AI$39,1,1)="1",1,"")</f>
        <v/>
      </c>
      <c r="AJ63" s="9">
        <f>IF(MID(AJ$39,1,1)="1",1,"")</f>
        <v/>
      </c>
      <c r="AK63" s="9">
        <f>IF(MID(AK$39,1,1)="1",1,"")</f>
        <v/>
      </c>
    </row>
    <row r="64" customFormat="1" s="7">
      <c r="B64" s="7" t="n">
        <v>8</v>
      </c>
      <c r="C64" s="13" t="inlineStr">
        <is>
          <t>ROM_CRC_FAIL</t>
        </is>
      </c>
      <c r="F64" s="14">
        <f>IF(MID(F$40,8,1)="1",1,"")</f>
        <v/>
      </c>
      <c r="G64" s="14">
        <f>IF(MID(G$40,8,1)="1",1,"")</f>
        <v/>
      </c>
      <c r="H64" s="14">
        <f>IF(MID(H$40,8,1)="1",1,"")</f>
        <v/>
      </c>
      <c r="I64" s="14">
        <f>IF(MID(I$40,8,1)="1",1,"")</f>
        <v/>
      </c>
      <c r="J64" s="14">
        <f>IF(MID(J$40,8,1)="1",1,"")</f>
        <v/>
      </c>
      <c r="K64" s="14">
        <f>IF(MID(K$40,8,1)="1",1,"")</f>
        <v/>
      </c>
      <c r="L64" s="14">
        <f>IF(MID(L$40,8,1)="1",1,"")</f>
        <v/>
      </c>
      <c r="M64" s="14">
        <f>IF(MID(M$40,8,1)="1",1,"")</f>
        <v/>
      </c>
      <c r="N64" s="14">
        <f>IF(MID(N$40,8,1)="1",1,"")</f>
        <v/>
      </c>
      <c r="O64" s="14">
        <f>IF(MID(O$40,8,1)="1",1,"")</f>
        <v/>
      </c>
      <c r="P64" s="14">
        <f>IF(MID(P$40,8,1)="1",1,"")</f>
        <v/>
      </c>
      <c r="Q64" s="14">
        <f>IF(MID(Q$40,8,1)="1",1,"")</f>
        <v/>
      </c>
      <c r="R64" s="14">
        <f>IF(MID(R$40,8,1)="1",1,"")</f>
        <v/>
      </c>
      <c r="S64" s="14">
        <f>IF(MID(S$40,8,1)="1",1,"")</f>
        <v/>
      </c>
      <c r="T64" s="14">
        <f>IF(MID(T$40,8,1)="1",1,"")</f>
        <v/>
      </c>
      <c r="U64" s="14">
        <f>IF(MID(U$40,8,1)="1",1,"")</f>
        <v/>
      </c>
      <c r="V64" s="14">
        <f>IF(MID(V$40,8,1)="1",1,"")</f>
        <v/>
      </c>
      <c r="W64" s="14">
        <f>IF(MID(W$40,8,1)="1",1,"")</f>
        <v/>
      </c>
      <c r="X64" s="14">
        <f>IF(MID(X$40,8,1)="1",1,"")</f>
        <v/>
      </c>
      <c r="Y64" s="14">
        <f>IF(MID(Y$40,8,1)="1",1,"")</f>
        <v/>
      </c>
      <c r="Z64" s="14">
        <f>IF(MID(Z$40,8,1)="1",1,"")</f>
        <v/>
      </c>
      <c r="AA64" s="14">
        <f>IF(MID(AA$40,8,1)="1",1,"")</f>
        <v/>
      </c>
      <c r="AB64" s="14">
        <f>IF(MID(AB$40,8,1)="1",1,"")</f>
        <v/>
      </c>
      <c r="AC64" s="14">
        <f>IF(MID(AC$40,8,1)="1",1,"")</f>
        <v/>
      </c>
      <c r="AD64" s="14">
        <f>IF(MID(AD$40,8,1)="1",1,"")</f>
        <v/>
      </c>
      <c r="AE64" s="14">
        <f>IF(MID(AE$40,8,1)="1",1,"")</f>
        <v/>
      </c>
      <c r="AF64" s="14">
        <f>IF(MID(AF$40,8,1)="1",1,"")</f>
        <v/>
      </c>
      <c r="AG64" s="14">
        <f>IF(MID(AG$40,8,1)="1",1,"")</f>
        <v/>
      </c>
      <c r="AH64" s="14">
        <f>IF(MID(AH$40,8,1)="1",1,"")</f>
        <v/>
      </c>
      <c r="AI64" s="14">
        <f>IF(MID(AI$40,8,1)="1",1,"")</f>
        <v/>
      </c>
      <c r="AJ64" s="14">
        <f>IF(MID(AJ$40,8,1)="1",1,"")</f>
        <v/>
      </c>
      <c r="AK64" s="14">
        <f>IF(MID(AK$40,8,1)="1",1,"")</f>
        <v/>
      </c>
    </row>
    <row r="65">
      <c r="B65" t="n">
        <v>9</v>
      </c>
      <c r="C65" s="15" t="inlineStr">
        <is>
          <t>RS422_WR_FAIL</t>
        </is>
      </c>
      <c r="F65" s="9">
        <f>IF(MID(F$40,7,1)="1",1,"")</f>
        <v/>
      </c>
      <c r="G65" s="9">
        <f>IF(MID(G$40,7,1)="1",1,"")</f>
        <v/>
      </c>
      <c r="H65" s="9">
        <f>IF(MID(H$40,7,1)="1",1,"")</f>
        <v/>
      </c>
      <c r="I65" s="9">
        <f>IF(MID(I$40,7,1)="1",1,"")</f>
        <v/>
      </c>
      <c r="J65" s="9">
        <f>IF(MID(J$40,7,1)="1",1,"")</f>
        <v/>
      </c>
      <c r="K65" s="9">
        <f>IF(MID(K$40,7,1)="1",1,"")</f>
        <v/>
      </c>
      <c r="L65" s="9">
        <f>IF(MID(L$40,7,1)="1",1,"")</f>
        <v/>
      </c>
      <c r="M65" s="9">
        <f>IF(MID(M$40,7,1)="1",1,"")</f>
        <v/>
      </c>
      <c r="N65" s="9">
        <f>IF(MID(N$40,7,1)="1",1,"")</f>
        <v/>
      </c>
      <c r="O65" s="9">
        <f>IF(MID(O$40,7,1)="1",1,"")</f>
        <v/>
      </c>
      <c r="P65" s="9">
        <f>IF(MID(P$40,7,1)="1",1,"")</f>
        <v/>
      </c>
      <c r="Q65" s="9">
        <f>IF(MID(Q$40,7,1)="1",1,"")</f>
        <v/>
      </c>
      <c r="R65" s="9">
        <f>IF(MID(R$40,7,1)="1",1,"")</f>
        <v/>
      </c>
      <c r="S65" s="9">
        <f>IF(MID(S$40,7,1)="1",1,"")</f>
        <v/>
      </c>
      <c r="T65" s="9">
        <f>IF(MID(T$40,7,1)="1",1,"")</f>
        <v/>
      </c>
      <c r="U65" s="9">
        <f>IF(MID(U$40,7,1)="1",1,"")</f>
        <v/>
      </c>
      <c r="V65" s="9">
        <f>IF(MID(V$40,7,1)="1",1,"")</f>
        <v/>
      </c>
      <c r="W65" s="9">
        <f>IF(MID(W$40,7,1)="1",1,"")</f>
        <v/>
      </c>
      <c r="X65" s="9">
        <f>IF(MID(X$40,7,1)="1",1,"")</f>
        <v/>
      </c>
      <c r="Y65" s="9">
        <f>IF(MID(Y$40,7,1)="1",1,"")</f>
        <v/>
      </c>
      <c r="Z65" s="9">
        <f>IF(MID(Z$40,7,1)="1",1,"")</f>
        <v/>
      </c>
      <c r="AA65" s="9">
        <f>IF(MID(AA$40,7,1)="1",1,"")</f>
        <v/>
      </c>
      <c r="AB65" s="9">
        <f>IF(MID(AB$40,7,1)="1",1,"")</f>
        <v/>
      </c>
      <c r="AC65" s="9">
        <f>IF(MID(AC$40,7,1)="1",1,"")</f>
        <v/>
      </c>
      <c r="AD65" s="9">
        <f>IF(MID(AD$40,7,1)="1",1,"")</f>
        <v/>
      </c>
      <c r="AE65" s="9">
        <f>IF(MID(AE$40,7,1)="1",1,"")</f>
        <v/>
      </c>
      <c r="AF65" s="9">
        <f>IF(MID(AF$40,7,1)="1",1,"")</f>
        <v/>
      </c>
      <c r="AG65" s="9">
        <f>IF(MID(AG$40,7,1)="1",1,"")</f>
        <v/>
      </c>
      <c r="AH65" s="9">
        <f>IF(MID(AH$40,7,1)="1",1,"")</f>
        <v/>
      </c>
      <c r="AI65" s="9">
        <f>IF(MID(AI$40,7,1)="1",1,"")</f>
        <v/>
      </c>
      <c r="AJ65" s="9">
        <f>IF(MID(AJ$40,7,1)="1",1,"")</f>
        <v/>
      </c>
      <c r="AK65" s="9">
        <f>IF(MID(AK$40,7,1)="1",1,"")</f>
        <v/>
      </c>
    </row>
    <row r="66" customFormat="1" s="7">
      <c r="B66" s="7" t="n">
        <v>10</v>
      </c>
      <c r="C66" s="13" t="inlineStr">
        <is>
          <t>RS422_CHECKSUM_FAIL</t>
        </is>
      </c>
      <c r="F66" s="14">
        <f>IF(MID(F$40,6,1)="1",1,"")</f>
        <v/>
      </c>
      <c r="G66" s="14">
        <f>IF(MID(G$40,6,1)="1",1,"")</f>
        <v/>
      </c>
      <c r="H66" s="14">
        <f>IF(MID(H$40,6,1)="1",1,"")</f>
        <v/>
      </c>
      <c r="I66" s="14">
        <f>IF(MID(I$40,6,1)="1",1,"")</f>
        <v/>
      </c>
      <c r="J66" s="14">
        <f>IF(MID(J$40,6,1)="1",1,"")</f>
        <v/>
      </c>
      <c r="K66" s="14">
        <f>IF(MID(K$40,6,1)="1",1,"")</f>
        <v/>
      </c>
      <c r="L66" s="14">
        <f>IF(MID(L$40,6,1)="1",1,"")</f>
        <v/>
      </c>
      <c r="M66" s="14">
        <f>IF(MID(M$40,6,1)="1",1,"")</f>
        <v/>
      </c>
      <c r="N66" s="14">
        <f>IF(MID(N$40,6,1)="1",1,"")</f>
        <v/>
      </c>
      <c r="O66" s="14">
        <f>IF(MID(O$40,6,1)="1",1,"")</f>
        <v/>
      </c>
      <c r="P66" s="14">
        <f>IF(MID(P$40,6,1)="1",1,"")</f>
        <v/>
      </c>
      <c r="Q66" s="14">
        <f>IF(MID(Q$40,6,1)="1",1,"")</f>
        <v/>
      </c>
      <c r="R66" s="14">
        <f>IF(MID(R$40,6,1)="1",1,"")</f>
        <v/>
      </c>
      <c r="S66" s="14">
        <f>IF(MID(S$40,6,1)="1",1,"")</f>
        <v/>
      </c>
      <c r="T66" s="14">
        <f>IF(MID(T$40,6,1)="1",1,"")</f>
        <v/>
      </c>
      <c r="U66" s="14">
        <f>IF(MID(U$40,6,1)="1",1,"")</f>
        <v/>
      </c>
      <c r="V66" s="14">
        <f>IF(MID(V$40,6,1)="1",1,"")</f>
        <v/>
      </c>
      <c r="W66" s="14">
        <f>IF(MID(W$40,6,1)="1",1,"")</f>
        <v/>
      </c>
      <c r="X66" s="14">
        <f>IF(MID(X$40,6,1)="1",1,"")</f>
        <v/>
      </c>
      <c r="Y66" s="14">
        <f>IF(MID(Y$40,6,1)="1",1,"")</f>
        <v/>
      </c>
      <c r="Z66" s="14">
        <f>IF(MID(Z$40,6,1)="1",1,"")</f>
        <v/>
      </c>
      <c r="AA66" s="14">
        <f>IF(MID(AA$40,6,1)="1",1,"")</f>
        <v/>
      </c>
      <c r="AB66" s="14">
        <f>IF(MID(AB$40,6,1)="1",1,"")</f>
        <v/>
      </c>
      <c r="AC66" s="14">
        <f>IF(MID(AC$40,6,1)="1",1,"")</f>
        <v/>
      </c>
      <c r="AD66" s="14">
        <f>IF(MID(AD$40,6,1)="1",1,"")</f>
        <v/>
      </c>
      <c r="AE66" s="14">
        <f>IF(MID(AE$40,6,1)="1",1,"")</f>
        <v/>
      </c>
      <c r="AF66" s="14">
        <f>IF(MID(AF$40,6,1)="1",1,"")</f>
        <v/>
      </c>
      <c r="AG66" s="14">
        <f>IF(MID(AG$40,6,1)="1",1,"")</f>
        <v/>
      </c>
      <c r="AH66" s="14">
        <f>IF(MID(AH$40,6,1)="1",1,"")</f>
        <v/>
      </c>
      <c r="AI66" s="14">
        <f>IF(MID(AI$40,6,1)="1",1,"")</f>
        <v/>
      </c>
      <c r="AJ66" s="14">
        <f>IF(MID(AJ$40,6,1)="1",1,"")</f>
        <v/>
      </c>
      <c r="AK66" s="14">
        <f>IF(MID(AK$40,6,1)="1",1,"")</f>
        <v/>
      </c>
    </row>
    <row r="67">
      <c r="B67" t="n">
        <v>11</v>
      </c>
      <c r="C67" s="15" t="inlineStr">
        <is>
          <t>CAL_TIME_CLOSE_FAIL</t>
        </is>
      </c>
      <c r="F67" s="9">
        <f>IF(MID(F$40,5,1)="1",1,"")</f>
        <v/>
      </c>
      <c r="G67" s="9">
        <f>IF(MID(G$40,5,1)="1",1,"")</f>
        <v/>
      </c>
      <c r="H67" s="9">
        <f>IF(MID(H$40,5,1)="1",1,"")</f>
        <v/>
      </c>
      <c r="I67" s="9">
        <f>IF(MID(I$40,5,1)="1",1,"")</f>
        <v/>
      </c>
      <c r="J67" s="9">
        <f>IF(MID(J$40,5,1)="1",1,"")</f>
        <v/>
      </c>
      <c r="K67" s="9">
        <f>IF(MID(K$40,5,1)="1",1,"")</f>
        <v/>
      </c>
      <c r="L67" s="9">
        <f>IF(MID(L$40,5,1)="1",1,"")</f>
        <v/>
      </c>
      <c r="M67" s="9">
        <f>IF(MID(M$40,5,1)="1",1,"")</f>
        <v/>
      </c>
      <c r="N67" s="9">
        <f>IF(MID(N$40,5,1)="1",1,"")</f>
        <v/>
      </c>
      <c r="O67" s="9">
        <f>IF(MID(O$40,5,1)="1",1,"")</f>
        <v/>
      </c>
      <c r="P67" s="9">
        <f>IF(MID(P$40,5,1)="1",1,"")</f>
        <v/>
      </c>
      <c r="Q67" s="9">
        <f>IF(MID(Q$40,5,1)="1",1,"")</f>
        <v/>
      </c>
      <c r="R67" s="9">
        <f>IF(MID(R$40,5,1)="1",1,"")</f>
        <v/>
      </c>
      <c r="S67" s="9">
        <f>IF(MID(S$40,5,1)="1",1,"")</f>
        <v/>
      </c>
      <c r="T67" s="9">
        <f>IF(MID(T$40,5,1)="1",1,"")</f>
        <v/>
      </c>
      <c r="U67" s="9">
        <f>IF(MID(U$40,5,1)="1",1,"")</f>
        <v/>
      </c>
      <c r="V67" s="9">
        <f>IF(MID(V$40,5,1)="1",1,"")</f>
        <v/>
      </c>
      <c r="W67" s="9">
        <f>IF(MID(W$40,5,1)="1",1,"")</f>
        <v/>
      </c>
      <c r="X67" s="9">
        <f>IF(MID(X$40,5,1)="1",1,"")</f>
        <v/>
      </c>
      <c r="Y67" s="9">
        <f>IF(MID(Y$40,5,1)="1",1,"")</f>
        <v/>
      </c>
      <c r="Z67" s="9">
        <f>IF(MID(Z$40,5,1)="1",1,"")</f>
        <v/>
      </c>
      <c r="AA67" s="9">
        <f>IF(MID(AA$40,5,1)="1",1,"")</f>
        <v/>
      </c>
      <c r="AB67" s="9">
        <f>IF(MID(AB$40,5,1)="1",1,"")</f>
        <v/>
      </c>
      <c r="AC67" s="9">
        <f>IF(MID(AC$40,5,1)="1",1,"")</f>
        <v/>
      </c>
      <c r="AD67" s="9">
        <f>IF(MID(AD$40,5,1)="1",1,"")</f>
        <v/>
      </c>
      <c r="AE67" s="9">
        <f>IF(MID(AE$40,5,1)="1",1,"")</f>
        <v/>
      </c>
      <c r="AF67" s="9">
        <f>IF(MID(AF$40,5,1)="1",1,"")</f>
        <v/>
      </c>
      <c r="AG67" s="9">
        <f>IF(MID(AG$40,5,1)="1",1,"")</f>
        <v/>
      </c>
      <c r="AH67" s="9">
        <f>IF(MID(AH$40,5,1)="1",1,"")</f>
        <v/>
      </c>
      <c r="AI67" s="9">
        <f>IF(MID(AI$40,5,1)="1",1,"")</f>
        <v/>
      </c>
      <c r="AJ67" s="9">
        <f>IF(MID(AJ$40,5,1)="1",1,"")</f>
        <v/>
      </c>
      <c r="AK67" s="9">
        <f>IF(MID(AK$40,5,1)="1",1,"")</f>
        <v/>
      </c>
    </row>
    <row r="68" customFormat="1" s="7">
      <c r="B68" s="7" t="n">
        <v>12</v>
      </c>
      <c r="C68" s="13" t="inlineStr">
        <is>
          <t>WDT_EXPIRED_FAIL</t>
        </is>
      </c>
      <c r="F68" s="14">
        <f>IF(MID(F$40,4,1)="1",1,"")</f>
        <v/>
      </c>
      <c r="G68" s="14">
        <f>IF(MID(G$40,4,1)="1",1,"")</f>
        <v/>
      </c>
      <c r="H68" s="14">
        <f>IF(MID(H$40,4,1)="1",1,"")</f>
        <v/>
      </c>
      <c r="I68" s="14">
        <f>IF(MID(I$40,4,1)="1",1,"")</f>
        <v/>
      </c>
      <c r="J68" s="14">
        <f>IF(MID(J$40,4,1)="1",1,"")</f>
        <v/>
      </c>
      <c r="K68" s="14">
        <f>IF(MID(K$40,4,1)="1",1,"")</f>
        <v/>
      </c>
      <c r="L68" s="14">
        <f>IF(MID(L$40,4,1)="1",1,"")</f>
        <v/>
      </c>
      <c r="M68" s="14">
        <f>IF(MID(M$40,4,1)="1",1,"")</f>
        <v/>
      </c>
      <c r="N68" s="14">
        <f>IF(MID(N$40,4,1)="1",1,"")</f>
        <v/>
      </c>
      <c r="O68" s="14">
        <f>IF(MID(O$40,4,1)="1",1,"")</f>
        <v/>
      </c>
      <c r="P68" s="14">
        <f>IF(MID(P$40,4,1)="1",1,"")</f>
        <v/>
      </c>
      <c r="Q68" s="14">
        <f>IF(MID(Q$40,4,1)="1",1,"")</f>
        <v/>
      </c>
      <c r="R68" s="14">
        <f>IF(MID(R$40,4,1)="1",1,"")</f>
        <v/>
      </c>
      <c r="S68" s="14">
        <f>IF(MID(S$40,4,1)="1",1,"")</f>
        <v/>
      </c>
      <c r="T68" s="14">
        <f>IF(MID(T$40,4,1)="1",1,"")</f>
        <v/>
      </c>
      <c r="U68" s="14">
        <f>IF(MID(U$40,4,1)="1",1,"")</f>
        <v/>
      </c>
      <c r="V68" s="14">
        <f>IF(MID(V$40,4,1)="1",1,"")</f>
        <v/>
      </c>
      <c r="W68" s="14">
        <f>IF(MID(W$40,4,1)="1",1,"")</f>
        <v/>
      </c>
      <c r="X68" s="14">
        <f>IF(MID(X$40,4,1)="1",1,"")</f>
        <v/>
      </c>
      <c r="Y68" s="14">
        <f>IF(MID(Y$40,4,1)="1",1,"")</f>
        <v/>
      </c>
      <c r="Z68" s="14">
        <f>IF(MID(Z$40,4,1)="1",1,"")</f>
        <v/>
      </c>
      <c r="AA68" s="14">
        <f>IF(MID(AA$40,4,1)="1",1,"")</f>
        <v/>
      </c>
      <c r="AB68" s="14">
        <f>IF(MID(AB$40,4,1)="1",1,"")</f>
        <v/>
      </c>
      <c r="AC68" s="14">
        <f>IF(MID(AC$40,4,1)="1",1,"")</f>
        <v/>
      </c>
      <c r="AD68" s="14">
        <f>IF(MID(AD$40,4,1)="1",1,"")</f>
        <v/>
      </c>
      <c r="AE68" s="14">
        <f>IF(MID(AE$40,4,1)="1",1,"")</f>
        <v/>
      </c>
      <c r="AF68" s="14">
        <f>IF(MID(AF$40,4,1)="1",1,"")</f>
        <v/>
      </c>
      <c r="AG68" s="14">
        <f>IF(MID(AG$40,4,1)="1",1,"")</f>
        <v/>
      </c>
      <c r="AH68" s="14">
        <f>IF(MID(AH$40,4,1)="1",1,"")</f>
        <v/>
      </c>
      <c r="AI68" s="14">
        <f>IF(MID(AI$40,4,1)="1",1,"")</f>
        <v/>
      </c>
      <c r="AJ68" s="14">
        <f>IF(MID(AJ$40,4,1)="1",1,"")</f>
        <v/>
      </c>
      <c r="AK68" s="14">
        <f>IF(MID(AK$40,4,1)="1",1,"")</f>
        <v/>
      </c>
    </row>
    <row r="69">
      <c r="B69" t="n">
        <v>13</v>
      </c>
      <c r="C69" s="15" t="inlineStr">
        <is>
          <t>PC_STEP_FAIL</t>
        </is>
      </c>
      <c r="F69" s="9">
        <f>IF(MID(F$40,3,1)="1",1,"")</f>
        <v/>
      </c>
      <c r="G69" s="9">
        <f>IF(MID(G$40,3,1)="1",1,"")</f>
        <v/>
      </c>
      <c r="H69" s="9">
        <f>IF(MID(H$40,3,1)="1",1,"")</f>
        <v/>
      </c>
      <c r="I69" s="9">
        <f>IF(MID(I$40,3,1)="1",1,"")</f>
        <v/>
      </c>
      <c r="J69" s="9">
        <f>IF(MID(J$40,3,1)="1",1,"")</f>
        <v/>
      </c>
      <c r="K69" s="9">
        <f>IF(MID(K$40,3,1)="1",1,"")</f>
        <v/>
      </c>
      <c r="L69" s="9">
        <f>IF(MID(L$40,3,1)="1",1,"")</f>
        <v/>
      </c>
      <c r="M69" s="9">
        <f>IF(MID(M$40,3,1)="1",1,"")</f>
        <v/>
      </c>
      <c r="N69" s="9">
        <f>IF(MID(N$40,3,1)="1",1,"")</f>
        <v/>
      </c>
      <c r="O69" s="9">
        <f>IF(MID(O$40,3,1)="1",1,"")</f>
        <v/>
      </c>
      <c r="P69" s="9">
        <f>IF(MID(P$40,3,1)="1",1,"")</f>
        <v/>
      </c>
      <c r="Q69" s="9">
        <f>IF(MID(Q$40,3,1)="1",1,"")</f>
        <v/>
      </c>
      <c r="R69" s="9">
        <f>IF(MID(R$40,3,1)="1",1,"")</f>
        <v/>
      </c>
      <c r="S69" s="9">
        <f>IF(MID(S$40,3,1)="1",1,"")</f>
        <v/>
      </c>
      <c r="T69" s="9">
        <f>IF(MID(T$40,3,1)="1",1,"")</f>
        <v/>
      </c>
      <c r="U69" s="9">
        <f>IF(MID(U$40,3,1)="1",1,"")</f>
        <v/>
      </c>
      <c r="V69" s="9">
        <f>IF(MID(V$40,3,1)="1",1,"")</f>
        <v/>
      </c>
      <c r="W69" s="9">
        <f>IF(MID(W$40,3,1)="1",1,"")</f>
        <v/>
      </c>
      <c r="X69" s="9">
        <f>IF(MID(X$40,3,1)="1",1,"")</f>
        <v/>
      </c>
      <c r="Y69" s="9">
        <f>IF(MID(Y$40,3,1)="1",1,"")</f>
        <v/>
      </c>
      <c r="Z69" s="9">
        <f>IF(MID(Z$40,3,1)="1",1,"")</f>
        <v/>
      </c>
      <c r="AA69" s="9">
        <f>IF(MID(AA$40,3,1)="1",1,"")</f>
        <v/>
      </c>
      <c r="AB69" s="9">
        <f>IF(MID(AB$40,3,1)="1",1,"")</f>
        <v/>
      </c>
      <c r="AC69" s="9">
        <f>IF(MID(AC$40,3,1)="1",1,"")</f>
        <v/>
      </c>
      <c r="AD69" s="9">
        <f>IF(MID(AD$40,3,1)="1",1,"")</f>
        <v/>
      </c>
      <c r="AE69" s="9">
        <f>IF(MID(AE$40,3,1)="1",1,"")</f>
        <v/>
      </c>
      <c r="AF69" s="9">
        <f>IF(MID(AF$40,3,1)="1",1,"")</f>
        <v/>
      </c>
      <c r="AG69" s="9">
        <f>IF(MID(AG$40,3,1)="1",1,"")</f>
        <v/>
      </c>
      <c r="AH69" s="9">
        <f>IF(MID(AH$40,3,1)="1",1,"")</f>
        <v/>
      </c>
      <c r="AI69" s="9">
        <f>IF(MID(AI$40,3,1)="1",1,"")</f>
        <v/>
      </c>
      <c r="AJ69" s="9">
        <f>IF(MID(AJ$40,3,1)="1",1,"")</f>
        <v/>
      </c>
      <c r="AK69" s="9">
        <f>IF(MID(AK$40,3,1)="1",1,"")</f>
        <v/>
      </c>
    </row>
    <row r="70" customFormat="1" s="7">
      <c r="B70" s="7" t="n">
        <v>14</v>
      </c>
      <c r="C70" s="13" t="inlineStr">
        <is>
          <t>ADIRS1_DATA_OUT_OF_RANGE</t>
        </is>
      </c>
      <c r="F70" s="14">
        <f>IF(MID(F$40,2,1)="1",1,"")</f>
        <v/>
      </c>
      <c r="G70" s="14">
        <f>IF(MID(G$40,2,1)="1",1,"")</f>
        <v/>
      </c>
      <c r="H70" s="14">
        <f>IF(MID(H$40,2,1)="1",1,"")</f>
        <v/>
      </c>
      <c r="I70" s="14">
        <f>IF(MID(I$40,2,1)="1",1,"")</f>
        <v/>
      </c>
      <c r="J70" s="14">
        <f>IF(MID(J$40,2,1)="1",1,"")</f>
        <v/>
      </c>
      <c r="K70" s="14">
        <f>IF(MID(K$40,2,1)="1",1,"")</f>
        <v/>
      </c>
      <c r="L70" s="14">
        <f>IF(MID(L$40,2,1)="1",1,"")</f>
        <v/>
      </c>
      <c r="M70" s="14">
        <f>IF(MID(M$40,2,1)="1",1,"")</f>
        <v/>
      </c>
      <c r="N70" s="14">
        <f>IF(MID(N$40,2,1)="1",1,"")</f>
        <v/>
      </c>
      <c r="O70" s="14">
        <f>IF(MID(O$40,2,1)="1",1,"")</f>
        <v/>
      </c>
      <c r="P70" s="14">
        <f>IF(MID(P$40,2,1)="1",1,"")</f>
        <v/>
      </c>
      <c r="Q70" s="14">
        <f>IF(MID(Q$40,2,1)="1",1,"")</f>
        <v/>
      </c>
      <c r="R70" s="14">
        <f>IF(MID(R$40,2,1)="1",1,"")</f>
        <v/>
      </c>
      <c r="S70" s="14">
        <f>IF(MID(S$40,2,1)="1",1,"")</f>
        <v/>
      </c>
      <c r="T70" s="14">
        <f>IF(MID(T$40,2,1)="1",1,"")</f>
        <v/>
      </c>
      <c r="U70" s="14">
        <f>IF(MID(U$40,2,1)="1",1,"")</f>
        <v/>
      </c>
      <c r="V70" s="14">
        <f>IF(MID(V$40,2,1)="1",1,"")</f>
        <v/>
      </c>
      <c r="W70" s="14">
        <f>IF(MID(W$40,2,1)="1",1,"")</f>
        <v/>
      </c>
      <c r="X70" s="14">
        <f>IF(MID(X$40,2,1)="1",1,"")</f>
        <v/>
      </c>
      <c r="Y70" s="14">
        <f>IF(MID(Y$40,2,1)="1",1,"")</f>
        <v/>
      </c>
      <c r="Z70" s="14">
        <f>IF(MID(Z$40,2,1)="1",1,"")</f>
        <v/>
      </c>
      <c r="AA70" s="14">
        <f>IF(MID(AA$40,2,1)="1",1,"")</f>
        <v/>
      </c>
      <c r="AB70" s="14">
        <f>IF(MID(AB$40,2,1)="1",1,"")</f>
        <v/>
      </c>
      <c r="AC70" s="14">
        <f>IF(MID(AC$40,2,1)="1",1,"")</f>
        <v/>
      </c>
      <c r="AD70" s="14">
        <f>IF(MID(AD$40,2,1)="1",1,"")</f>
        <v/>
      </c>
      <c r="AE70" s="14">
        <f>IF(MID(AE$40,2,1)="1",1,"")</f>
        <v/>
      </c>
      <c r="AF70" s="14">
        <f>IF(MID(AF$40,2,1)="1",1,"")</f>
        <v/>
      </c>
      <c r="AG70" s="14">
        <f>IF(MID(AG$40,2,1)="1",1,"")</f>
        <v/>
      </c>
      <c r="AH70" s="14">
        <f>IF(MID(AH$40,2,1)="1",1,"")</f>
        <v/>
      </c>
      <c r="AI70" s="14">
        <f>IF(MID(AI$40,2,1)="1",1,"")</f>
        <v/>
      </c>
      <c r="AJ70" s="14">
        <f>IF(MID(AJ$40,2,1)="1",1,"")</f>
        <v/>
      </c>
      <c r="AK70" s="14">
        <f>IF(MID(AK$40,2,1)="1",1,"")</f>
        <v/>
      </c>
    </row>
    <row r="71">
      <c r="B71" t="n">
        <v>15</v>
      </c>
      <c r="C71" s="15" t="inlineStr">
        <is>
          <t>ADIRS2_DATA_OUT_OF_RANGE</t>
        </is>
      </c>
      <c r="F71" s="9">
        <f>IF(MID(F$40,1,1)="1",1,"")</f>
        <v/>
      </c>
      <c r="G71" s="9">
        <f>IF(MID(G$40,1,1)="1",1,"")</f>
        <v/>
      </c>
      <c r="H71" s="9">
        <f>IF(MID(H$40,1,1)="1",1,"")</f>
        <v/>
      </c>
      <c r="I71" s="9">
        <f>IF(MID(I$40,1,1)="1",1,"")</f>
        <v/>
      </c>
      <c r="J71" s="9">
        <f>IF(MID(J$40,1,1)="1",1,"")</f>
        <v/>
      </c>
      <c r="K71" s="9">
        <f>IF(MID(K$40,1,1)="1",1,"")</f>
        <v/>
      </c>
      <c r="L71" s="9">
        <f>IF(MID(L$40,1,1)="1",1,"")</f>
        <v/>
      </c>
      <c r="M71" s="9">
        <f>IF(MID(M$40,1,1)="1",1,"")</f>
        <v/>
      </c>
      <c r="N71" s="9">
        <f>IF(MID(N$40,1,1)="1",1,"")</f>
        <v/>
      </c>
      <c r="O71" s="9">
        <f>IF(MID(O$40,1,1)="1",1,"")</f>
        <v/>
      </c>
      <c r="P71" s="9">
        <f>IF(MID(P$40,1,1)="1",1,"")</f>
        <v/>
      </c>
      <c r="Q71" s="9">
        <f>IF(MID(Q$40,1,1)="1",1,"")</f>
        <v/>
      </c>
      <c r="R71" s="9">
        <f>IF(MID(R$40,1,1)="1",1,"")</f>
        <v/>
      </c>
      <c r="S71" s="9">
        <f>IF(MID(S$40,1,1)="1",1,"")</f>
        <v/>
      </c>
      <c r="T71" s="9">
        <f>IF(MID(T$40,1,1)="1",1,"")</f>
        <v/>
      </c>
      <c r="U71" s="9">
        <f>IF(MID(U$40,1,1)="1",1,"")</f>
        <v/>
      </c>
      <c r="V71" s="9">
        <f>IF(MID(V$40,1,1)="1",1,"")</f>
        <v/>
      </c>
      <c r="W71" s="9">
        <f>IF(MID(W$40,1,1)="1",1,"")</f>
        <v/>
      </c>
      <c r="X71" s="9">
        <f>IF(MID(X$40,1,1)="1",1,"")</f>
        <v/>
      </c>
      <c r="Y71" s="9">
        <f>IF(MID(Y$40,1,1)="1",1,"")</f>
        <v/>
      </c>
      <c r="Z71" s="9">
        <f>IF(MID(Z$40,1,1)="1",1,"")</f>
        <v/>
      </c>
      <c r="AA71" s="9">
        <f>IF(MID(AA$40,1,1)="1",1,"")</f>
        <v/>
      </c>
      <c r="AB71" s="9">
        <f>IF(MID(AB$40,1,1)="1",1,"")</f>
        <v/>
      </c>
      <c r="AC71" s="9">
        <f>IF(MID(AC$40,1,1)="1",1,"")</f>
        <v/>
      </c>
      <c r="AD71" s="9">
        <f>IF(MID(AD$40,1,1)="1",1,"")</f>
        <v/>
      </c>
      <c r="AE71" s="9">
        <f>IF(MID(AE$40,1,1)="1",1,"")</f>
        <v/>
      </c>
      <c r="AF71" s="9">
        <f>IF(MID(AF$40,1,1)="1",1,"")</f>
        <v/>
      </c>
      <c r="AG71" s="9">
        <f>IF(MID(AG$40,1,1)="1",1,"")</f>
        <v/>
      </c>
      <c r="AH71" s="9">
        <f>IF(MID(AH$40,1,1)="1",1,"")</f>
        <v/>
      </c>
      <c r="AI71" s="9">
        <f>IF(MID(AI$40,1,1)="1",1,"")</f>
        <v/>
      </c>
      <c r="AJ71" s="9">
        <f>IF(MID(AJ$40,1,1)="1",1,"")</f>
        <v/>
      </c>
      <c r="AK71" s="9">
        <f>IF(MID(AK$40,1,1)="1",1,"")</f>
        <v/>
      </c>
    </row>
    <row r="72" customFormat="1" s="7">
      <c r="B72" s="7" t="n">
        <v>16</v>
      </c>
      <c r="C72" s="13" t="inlineStr">
        <is>
          <t>UNUSED</t>
        </is>
      </c>
      <c r="F72" s="14">
        <f>IF(MID(F$41,8,1)="1",1,"")</f>
        <v/>
      </c>
      <c r="G72" s="14">
        <f>IF(MID(G$41,8,1)="1",1,"")</f>
        <v/>
      </c>
      <c r="H72" s="14">
        <f>IF(MID(H$41,8,1)="1",1,"")</f>
        <v/>
      </c>
      <c r="I72" s="14">
        <f>IF(MID(I$41,8,1)="1",1,"")</f>
        <v/>
      </c>
      <c r="J72" s="14">
        <f>IF(MID(J$41,8,1)="1",1,"")</f>
        <v/>
      </c>
      <c r="K72" s="14">
        <f>IF(MID(K$41,8,1)="1",1,"")</f>
        <v/>
      </c>
      <c r="L72" s="14">
        <f>IF(MID(L$41,8,1)="1",1,"")</f>
        <v/>
      </c>
      <c r="M72" s="14">
        <f>IF(MID(M$41,8,1)="1",1,"")</f>
        <v/>
      </c>
      <c r="N72" s="14">
        <f>IF(MID(N$41,8,1)="1",1,"")</f>
        <v/>
      </c>
      <c r="O72" s="14">
        <f>IF(MID(O$41,8,1)="1",1,"")</f>
        <v/>
      </c>
      <c r="P72" s="14">
        <f>IF(MID(P$41,8,1)="1",1,"")</f>
        <v/>
      </c>
      <c r="Q72" s="14">
        <f>IF(MID(Q$41,8,1)="1",1,"")</f>
        <v/>
      </c>
      <c r="R72" s="14">
        <f>IF(MID(R$41,8,1)="1",1,"")</f>
        <v/>
      </c>
      <c r="S72" s="14">
        <f>IF(MID(S$41,8,1)="1",1,"")</f>
        <v/>
      </c>
      <c r="T72" s="14">
        <f>IF(MID(T$41,8,1)="1",1,"")</f>
        <v/>
      </c>
      <c r="U72" s="14">
        <f>IF(MID(U$41,8,1)="1",1,"")</f>
        <v/>
      </c>
      <c r="V72" s="14">
        <f>IF(MID(V$41,8,1)="1",1,"")</f>
        <v/>
      </c>
      <c r="W72" s="14">
        <f>IF(MID(W$41,8,1)="1",1,"")</f>
        <v/>
      </c>
      <c r="X72" s="14">
        <f>IF(MID(X$41,8,1)="1",1,"")</f>
        <v/>
      </c>
      <c r="Y72" s="14">
        <f>IF(MID(Y$41,8,1)="1",1,"")</f>
        <v/>
      </c>
      <c r="Z72" s="14">
        <f>IF(MID(Z$41,8,1)="1",1,"")</f>
        <v/>
      </c>
      <c r="AA72" s="14">
        <f>IF(MID(AA$41,8,1)="1",1,"")</f>
        <v/>
      </c>
      <c r="AB72" s="14">
        <f>IF(MID(AB$41,8,1)="1",1,"")</f>
        <v/>
      </c>
      <c r="AC72" s="14">
        <f>IF(MID(AC$41,8,1)="1",1,"")</f>
        <v/>
      </c>
      <c r="AD72" s="14">
        <f>IF(MID(AD$41,8,1)="1",1,"")</f>
        <v/>
      </c>
      <c r="AE72" s="14">
        <f>IF(MID(AE$41,8,1)="1",1,"")</f>
        <v/>
      </c>
      <c r="AF72" s="14">
        <f>IF(MID(AF$41,8,1)="1",1,"")</f>
        <v/>
      </c>
      <c r="AG72" s="14">
        <f>IF(MID(AG$41,8,1)="1",1,"")</f>
        <v/>
      </c>
      <c r="AH72" s="14">
        <f>IF(MID(AH$41,8,1)="1",1,"")</f>
        <v/>
      </c>
      <c r="AI72" s="14">
        <f>IF(MID(AI$41,8,1)="1",1,"")</f>
        <v/>
      </c>
      <c r="AJ72" s="14">
        <f>IF(MID(AJ$41,8,1)="1",1,"")</f>
        <v/>
      </c>
      <c r="AK72" s="14">
        <f>IF(MID(AK$41,8,1)="1",1,"")</f>
        <v/>
      </c>
    </row>
    <row r="73">
      <c r="B73" t="n">
        <v>17</v>
      </c>
      <c r="C73" s="15" t="inlineStr">
        <is>
          <t>EIU_SIGNAL_REPLACED</t>
        </is>
      </c>
      <c r="F73" s="9">
        <f>IF(MID(F$41,7,1)="1",1,"")</f>
        <v/>
      </c>
      <c r="G73" s="9">
        <f>IF(MID(G$41,7,1)="1",1,"")</f>
        <v/>
      </c>
      <c r="H73" s="9">
        <f>IF(MID(H$41,7,1)="1",1,"")</f>
        <v/>
      </c>
      <c r="I73" s="9">
        <f>IF(MID(I$41,7,1)="1",1,"")</f>
        <v/>
      </c>
      <c r="J73" s="9">
        <f>IF(MID(J$41,7,1)="1",1,"")</f>
        <v/>
      </c>
      <c r="K73" s="9">
        <f>IF(MID(K$41,7,1)="1",1,"")</f>
        <v/>
      </c>
      <c r="L73" s="9">
        <f>IF(MID(L$41,7,1)="1",1,"")</f>
        <v/>
      </c>
      <c r="M73" s="9">
        <f>IF(MID(M$41,7,1)="1",1,"")</f>
        <v/>
      </c>
      <c r="N73" s="9">
        <f>IF(MID(N$41,7,1)="1",1,"")</f>
        <v/>
      </c>
      <c r="O73" s="9">
        <f>IF(MID(O$41,7,1)="1",1,"")</f>
        <v/>
      </c>
      <c r="P73" s="9">
        <f>IF(MID(P$41,7,1)="1",1,"")</f>
        <v/>
      </c>
      <c r="Q73" s="9">
        <f>IF(MID(Q$41,7,1)="1",1,"")</f>
        <v/>
      </c>
      <c r="R73" s="9">
        <f>IF(MID(R$41,7,1)="1",1,"")</f>
        <v/>
      </c>
      <c r="S73" s="9">
        <f>IF(MID(S$41,7,1)="1",1,"")</f>
        <v/>
      </c>
      <c r="T73" s="9">
        <f>IF(MID(T$41,7,1)="1",1,"")</f>
        <v/>
      </c>
      <c r="U73" s="9">
        <f>IF(MID(U$41,7,1)="1",1,"")</f>
        <v/>
      </c>
      <c r="V73" s="9">
        <f>IF(MID(V$41,7,1)="1",1,"")</f>
        <v/>
      </c>
      <c r="W73" s="9">
        <f>IF(MID(W$41,7,1)="1",1,"")</f>
        <v/>
      </c>
      <c r="X73" s="9">
        <f>IF(MID(X$41,7,1)="1",1,"")</f>
        <v/>
      </c>
      <c r="Y73" s="9">
        <f>IF(MID(Y$41,7,1)="1",1,"")</f>
        <v/>
      </c>
      <c r="Z73" s="9">
        <f>IF(MID(Z$41,7,1)="1",1,"")</f>
        <v/>
      </c>
      <c r="AA73" s="9">
        <f>IF(MID(AA$41,7,1)="1",1,"")</f>
        <v/>
      </c>
      <c r="AB73" s="9">
        <f>IF(MID(AB$41,7,1)="1",1,"")</f>
        <v/>
      </c>
      <c r="AC73" s="9">
        <f>IF(MID(AC$41,7,1)="1",1,"")</f>
        <v/>
      </c>
      <c r="AD73" s="9">
        <f>IF(MID(AD$41,7,1)="1",1,"")</f>
        <v/>
      </c>
      <c r="AE73" s="9">
        <f>IF(MID(AE$41,7,1)="1",1,"")</f>
        <v/>
      </c>
      <c r="AF73" s="9">
        <f>IF(MID(AF$41,7,1)="1",1,"")</f>
        <v/>
      </c>
      <c r="AG73" s="9">
        <f>IF(MID(AG$41,7,1)="1",1,"")</f>
        <v/>
      </c>
      <c r="AH73" s="9">
        <f>IF(MID(AH$41,7,1)="1",1,"")</f>
        <v/>
      </c>
      <c r="AI73" s="9">
        <f>IF(MID(AI$41,7,1)="1",1,"")</f>
        <v/>
      </c>
      <c r="AJ73" s="9">
        <f>IF(MID(AJ$41,7,1)="1",1,"")</f>
        <v/>
      </c>
      <c r="AK73" s="9">
        <f>IF(MID(AK$41,7,1)="1",1,"")</f>
        <v/>
      </c>
    </row>
    <row r="74" customFormat="1" s="7">
      <c r="B74" s="7" t="n">
        <v>18</v>
      </c>
      <c r="C74" s="13" t="inlineStr">
        <is>
          <t>ZCAL_FAIL</t>
        </is>
      </c>
      <c r="F74" s="14">
        <f>IF(MID(F$41,6,1)="1",1,"")</f>
        <v/>
      </c>
      <c r="G74" s="14">
        <f>IF(MID(G$41,6,1)="1",1,"")</f>
        <v/>
      </c>
      <c r="H74" s="14">
        <f>IF(MID(H$41,6,1)="1",1,"")</f>
        <v/>
      </c>
      <c r="I74" s="14">
        <f>IF(MID(I$41,6,1)="1",1,"")</f>
        <v/>
      </c>
      <c r="J74" s="14">
        <f>IF(MID(J$41,6,1)="1",1,"")</f>
        <v/>
      </c>
      <c r="K74" s="14">
        <f>IF(MID(K$41,6,1)="1",1,"")</f>
        <v/>
      </c>
      <c r="L74" s="14">
        <f>IF(MID(L$41,6,1)="1",1,"")</f>
        <v/>
      </c>
      <c r="M74" s="14">
        <f>IF(MID(M$41,6,1)="1",1,"")</f>
        <v/>
      </c>
      <c r="N74" s="14">
        <f>IF(MID(N$41,6,1)="1",1,"")</f>
        <v/>
      </c>
      <c r="O74" s="14">
        <f>IF(MID(O$41,6,1)="1",1,"")</f>
        <v/>
      </c>
      <c r="P74" s="14">
        <f>IF(MID(P$41,6,1)="1",1,"")</f>
        <v/>
      </c>
      <c r="Q74" s="14">
        <f>IF(MID(Q$41,6,1)="1",1,"")</f>
        <v/>
      </c>
      <c r="R74" s="14">
        <f>IF(MID(R$41,6,1)="1",1,"")</f>
        <v/>
      </c>
      <c r="S74" s="14">
        <f>IF(MID(S$41,6,1)="1",1,"")</f>
        <v/>
      </c>
      <c r="T74" s="14">
        <f>IF(MID(T$41,6,1)="1",1,"")</f>
        <v/>
      </c>
      <c r="U74" s="14">
        <f>IF(MID(U$41,6,1)="1",1,"")</f>
        <v/>
      </c>
      <c r="V74" s="14">
        <f>IF(MID(V$41,6,1)="1",1,"")</f>
        <v/>
      </c>
      <c r="W74" s="14">
        <f>IF(MID(W$41,6,1)="1",1,"")</f>
        <v/>
      </c>
      <c r="X74" s="14">
        <f>IF(MID(X$41,6,1)="1",1,"")</f>
        <v/>
      </c>
      <c r="Y74" s="14">
        <f>IF(MID(Y$41,6,1)="1",1,"")</f>
        <v/>
      </c>
      <c r="Z74" s="14">
        <f>IF(MID(Z$41,6,1)="1",1,"")</f>
        <v/>
      </c>
      <c r="AA74" s="14">
        <f>IF(MID(AA$41,6,1)="1",1,"")</f>
        <v/>
      </c>
      <c r="AB74" s="14">
        <f>IF(MID(AB$41,6,1)="1",1,"")</f>
        <v/>
      </c>
      <c r="AC74" s="14">
        <f>IF(MID(AC$41,6,1)="1",1,"")</f>
        <v/>
      </c>
      <c r="AD74" s="14">
        <f>IF(MID(AD$41,6,1)="1",1,"")</f>
        <v/>
      </c>
      <c r="AE74" s="14">
        <f>IF(MID(AE$41,6,1)="1",1,"")</f>
        <v/>
      </c>
      <c r="AF74" s="14">
        <f>IF(MID(AF$41,6,1)="1",1,"")</f>
        <v/>
      </c>
      <c r="AG74" s="14">
        <f>IF(MID(AG$41,6,1)="1",1,"")</f>
        <v/>
      </c>
      <c r="AH74" s="14">
        <f>IF(MID(AH$41,6,1)="1",1,"")</f>
        <v/>
      </c>
      <c r="AI74" s="14">
        <f>IF(MID(AI$41,6,1)="1",1,"")</f>
        <v/>
      </c>
      <c r="AJ74" s="14">
        <f>IF(MID(AJ$41,6,1)="1",1,"")</f>
        <v/>
      </c>
      <c r="AK74" s="14">
        <f>IF(MID(AK$41,6,1)="1",1,"")</f>
        <v/>
      </c>
    </row>
    <row r="75">
      <c r="B75" t="n">
        <v>19</v>
      </c>
      <c r="C75" s="15" t="inlineStr">
        <is>
          <t>ADIRS1_FAIL</t>
        </is>
      </c>
      <c r="F75" s="9">
        <f>IF(MID(F$41,5,1)="1",1,"")</f>
        <v/>
      </c>
      <c r="G75" s="9">
        <f>IF(MID(G$41,5,1)="1",1,"")</f>
        <v/>
      </c>
      <c r="H75" s="9">
        <f>IF(MID(H$41,5,1)="1",1,"")</f>
        <v/>
      </c>
      <c r="I75" s="9">
        <f>IF(MID(I$41,5,1)="1",1,"")</f>
        <v/>
      </c>
      <c r="J75" s="9">
        <f>IF(MID(J$41,5,1)="1",1,"")</f>
        <v/>
      </c>
      <c r="K75" s="9">
        <f>IF(MID(K$41,5,1)="1",1,"")</f>
        <v/>
      </c>
      <c r="L75" s="9">
        <f>IF(MID(L$41,5,1)="1",1,"")</f>
        <v/>
      </c>
      <c r="M75" s="9">
        <f>IF(MID(M$41,5,1)="1",1,"")</f>
        <v/>
      </c>
      <c r="N75" s="9">
        <f>IF(MID(N$41,5,1)="1",1,"")</f>
        <v/>
      </c>
      <c r="O75" s="9">
        <f>IF(MID(O$41,5,1)="1",1,"")</f>
        <v/>
      </c>
      <c r="P75" s="9">
        <f>IF(MID(P$41,5,1)="1",1,"")</f>
        <v/>
      </c>
      <c r="Q75" s="9">
        <f>IF(MID(Q$41,5,1)="1",1,"")</f>
        <v/>
      </c>
      <c r="R75" s="9">
        <f>IF(MID(R$41,5,1)="1",1,"")</f>
        <v/>
      </c>
      <c r="S75" s="9">
        <f>IF(MID(S$41,5,1)="1",1,"")</f>
        <v/>
      </c>
      <c r="T75" s="9">
        <f>IF(MID(T$41,5,1)="1",1,"")</f>
        <v/>
      </c>
      <c r="U75" s="9">
        <f>IF(MID(U$41,5,1)="1",1,"")</f>
        <v/>
      </c>
      <c r="V75" s="9">
        <f>IF(MID(V$41,5,1)="1",1,"")</f>
        <v/>
      </c>
      <c r="W75" s="9">
        <f>IF(MID(W$41,5,1)="1",1,"")</f>
        <v/>
      </c>
      <c r="X75" s="9">
        <f>IF(MID(X$41,5,1)="1",1,"")</f>
        <v/>
      </c>
      <c r="Y75" s="9">
        <f>IF(MID(Y$41,5,1)="1",1,"")</f>
        <v/>
      </c>
      <c r="Z75" s="9">
        <f>IF(MID(Z$41,5,1)="1",1,"")</f>
        <v/>
      </c>
      <c r="AA75" s="9">
        <f>IF(MID(AA$41,5,1)="1",1,"")</f>
        <v/>
      </c>
      <c r="AB75" s="9">
        <f>IF(MID(AB$41,5,1)="1",1,"")</f>
        <v/>
      </c>
      <c r="AC75" s="9">
        <f>IF(MID(AC$41,5,1)="1",1,"")</f>
        <v/>
      </c>
      <c r="AD75" s="9">
        <f>IF(MID(AD$41,5,1)="1",1,"")</f>
        <v/>
      </c>
      <c r="AE75" s="9">
        <f>IF(MID(AE$41,5,1)="1",1,"")</f>
        <v/>
      </c>
      <c r="AF75" s="9">
        <f>IF(MID(AF$41,5,1)="1",1,"")</f>
        <v/>
      </c>
      <c r="AG75" s="9">
        <f>IF(MID(AG$41,5,1)="1",1,"")</f>
        <v/>
      </c>
      <c r="AH75" s="9">
        <f>IF(MID(AH$41,5,1)="1",1,"")</f>
        <v/>
      </c>
      <c r="AI75" s="9">
        <f>IF(MID(AI$41,5,1)="1",1,"")</f>
        <v/>
      </c>
      <c r="AJ75" s="9">
        <f>IF(MID(AJ$41,5,1)="1",1,"")</f>
        <v/>
      </c>
      <c r="AK75" s="9">
        <f>IF(MID(AK$41,5,1)="1",1,"")</f>
        <v/>
      </c>
    </row>
    <row r="76" customFormat="1" s="7">
      <c r="B76" s="7" t="n">
        <v>20</v>
      </c>
      <c r="C76" s="13" t="inlineStr">
        <is>
          <t>ADIRS2_FAIL</t>
        </is>
      </c>
      <c r="F76" s="14">
        <f>IF(MID(F$41,4,1)="1",1,"")</f>
        <v/>
      </c>
      <c r="G76" s="14">
        <f>IF(MID(G$41,4,1)="1",1,"")</f>
        <v/>
      </c>
      <c r="H76" s="14">
        <f>IF(MID(H$41,4,1)="1",1,"")</f>
        <v/>
      </c>
      <c r="I76" s="14">
        <f>IF(MID(I$41,4,1)="1",1,"")</f>
        <v/>
      </c>
      <c r="J76" s="14">
        <f>IF(MID(J$41,4,1)="1",1,"")</f>
        <v/>
      </c>
      <c r="K76" s="14">
        <f>IF(MID(K$41,4,1)="1",1,"")</f>
        <v/>
      </c>
      <c r="L76" s="14">
        <f>IF(MID(L$41,4,1)="1",1,"")</f>
        <v/>
      </c>
      <c r="M76" s="14">
        <f>IF(MID(M$41,4,1)="1",1,"")</f>
        <v/>
      </c>
      <c r="N76" s="14">
        <f>IF(MID(N$41,4,1)="1",1,"")</f>
        <v/>
      </c>
      <c r="O76" s="14">
        <f>IF(MID(O$41,4,1)="1",1,"")</f>
        <v/>
      </c>
      <c r="P76" s="14">
        <f>IF(MID(P$41,4,1)="1",1,"")</f>
        <v/>
      </c>
      <c r="Q76" s="14">
        <f>IF(MID(Q$41,4,1)="1",1,"")</f>
        <v/>
      </c>
      <c r="R76" s="14">
        <f>IF(MID(R$41,4,1)="1",1,"")</f>
        <v/>
      </c>
      <c r="S76" s="14">
        <f>IF(MID(S$41,4,1)="1",1,"")</f>
        <v/>
      </c>
      <c r="T76" s="14">
        <f>IF(MID(T$41,4,1)="1",1,"")</f>
        <v/>
      </c>
      <c r="U76" s="14">
        <f>IF(MID(U$41,4,1)="1",1,"")</f>
        <v/>
      </c>
      <c r="V76" s="14">
        <f>IF(MID(V$41,4,1)="1",1,"")</f>
        <v/>
      </c>
      <c r="W76" s="14">
        <f>IF(MID(W$41,4,1)="1",1,"")</f>
        <v/>
      </c>
      <c r="X76" s="14">
        <f>IF(MID(X$41,4,1)="1",1,"")</f>
        <v/>
      </c>
      <c r="Y76" s="14">
        <f>IF(MID(Y$41,4,1)="1",1,"")</f>
        <v/>
      </c>
      <c r="Z76" s="14">
        <f>IF(MID(Z$41,4,1)="1",1,"")</f>
        <v/>
      </c>
      <c r="AA76" s="14">
        <f>IF(MID(AA$41,4,1)="1",1,"")</f>
        <v/>
      </c>
      <c r="AB76" s="14">
        <f>IF(MID(AB$41,4,1)="1",1,"")</f>
        <v/>
      </c>
      <c r="AC76" s="14">
        <f>IF(MID(AC$41,4,1)="1",1,"")</f>
        <v/>
      </c>
      <c r="AD76" s="14">
        <f>IF(MID(AD$41,4,1)="1",1,"")</f>
        <v/>
      </c>
      <c r="AE76" s="14">
        <f>IF(MID(AE$41,4,1)="1",1,"")</f>
        <v/>
      </c>
      <c r="AF76" s="14">
        <f>IF(MID(AF$41,4,1)="1",1,"")</f>
        <v/>
      </c>
      <c r="AG76" s="14">
        <f>IF(MID(AG$41,4,1)="1",1,"")</f>
        <v/>
      </c>
      <c r="AH76" s="14">
        <f>IF(MID(AH$41,4,1)="1",1,"")</f>
        <v/>
      </c>
      <c r="AI76" s="14">
        <f>IF(MID(AI$41,4,1)="1",1,"")</f>
        <v/>
      </c>
      <c r="AJ76" s="14">
        <f>IF(MID(AJ$41,4,1)="1",1,"")</f>
        <v/>
      </c>
      <c r="AK76" s="14">
        <f>IF(MID(AK$41,4,1)="1",1,"")</f>
        <v/>
      </c>
    </row>
    <row r="77">
      <c r="B77" t="n">
        <v>21</v>
      </c>
      <c r="C77" s="15" t="inlineStr">
        <is>
          <t>ADIRS3_FAIL</t>
        </is>
      </c>
      <c r="F77" s="9">
        <f>IF(MID(F$41,3,1)="1",1,"")</f>
        <v/>
      </c>
      <c r="G77" s="9">
        <f>IF(MID(G$41,3,1)="1",1,"")</f>
        <v/>
      </c>
      <c r="H77" s="9">
        <f>IF(MID(H$41,3,1)="1",1,"")</f>
        <v/>
      </c>
      <c r="I77" s="9">
        <f>IF(MID(I$41,3,1)="1",1,"")</f>
        <v/>
      </c>
      <c r="J77" s="9">
        <f>IF(MID(J$41,3,1)="1",1,"")</f>
        <v/>
      </c>
      <c r="K77" s="9">
        <f>IF(MID(K$41,3,1)="1",1,"")</f>
        <v/>
      </c>
      <c r="L77" s="9">
        <f>IF(MID(L$41,3,1)="1",1,"")</f>
        <v/>
      </c>
      <c r="M77" s="9">
        <f>IF(MID(M$41,3,1)="1",1,"")</f>
        <v/>
      </c>
      <c r="N77" s="9">
        <f>IF(MID(N$41,3,1)="1",1,"")</f>
        <v/>
      </c>
      <c r="O77" s="9">
        <f>IF(MID(O$41,3,1)="1",1,"")</f>
        <v/>
      </c>
      <c r="P77" s="9">
        <f>IF(MID(P$41,3,1)="1",1,"")</f>
        <v/>
      </c>
      <c r="Q77" s="9">
        <f>IF(MID(Q$41,3,1)="1",1,"")</f>
        <v/>
      </c>
      <c r="R77" s="9">
        <f>IF(MID(R$41,3,1)="1",1,"")</f>
        <v/>
      </c>
      <c r="S77" s="9">
        <f>IF(MID(S$41,3,1)="1",1,"")</f>
        <v/>
      </c>
      <c r="T77" s="9">
        <f>IF(MID(T$41,3,1)="1",1,"")</f>
        <v/>
      </c>
      <c r="U77" s="9">
        <f>IF(MID(U$41,3,1)="1",1,"")</f>
        <v/>
      </c>
      <c r="V77" s="9">
        <f>IF(MID(V$41,3,1)="1",1,"")</f>
        <v/>
      </c>
      <c r="W77" s="9">
        <f>IF(MID(W$41,3,1)="1",1,"")</f>
        <v/>
      </c>
      <c r="X77" s="9">
        <f>IF(MID(X$41,3,1)="1",1,"")</f>
        <v/>
      </c>
      <c r="Y77" s="9">
        <f>IF(MID(Y$41,3,1)="1",1,"")</f>
        <v/>
      </c>
      <c r="Z77" s="9">
        <f>IF(MID(Z$41,3,1)="1",1,"")</f>
        <v/>
      </c>
      <c r="AA77" s="9">
        <f>IF(MID(AA$41,3,1)="1",1,"")</f>
        <v/>
      </c>
      <c r="AB77" s="9">
        <f>IF(MID(AB$41,3,1)="1",1,"")</f>
        <v/>
      </c>
      <c r="AC77" s="9">
        <f>IF(MID(AC$41,3,1)="1",1,"")</f>
        <v/>
      </c>
      <c r="AD77" s="9">
        <f>IF(MID(AD$41,3,1)="1",1,"")</f>
        <v/>
      </c>
      <c r="AE77" s="9">
        <f>IF(MID(AE$41,3,1)="1",1,"")</f>
        <v/>
      </c>
      <c r="AF77" s="9">
        <f>IF(MID(AF$41,3,1)="1",1,"")</f>
        <v/>
      </c>
      <c r="AG77" s="9">
        <f>IF(MID(AG$41,3,1)="1",1,"")</f>
        <v/>
      </c>
      <c r="AH77" s="9">
        <f>IF(MID(AH$41,3,1)="1",1,"")</f>
        <v/>
      </c>
      <c r="AI77" s="9">
        <f>IF(MID(AI$41,3,1)="1",1,"")</f>
        <v/>
      </c>
      <c r="AJ77" s="9">
        <f>IF(MID(AJ$41,3,1)="1",1,"")</f>
        <v/>
      </c>
      <c r="AK77" s="9">
        <f>IF(MID(AK$41,3,1)="1",1,"")</f>
        <v/>
      </c>
    </row>
    <row r="78" customFormat="1" s="7">
      <c r="B78" s="7" t="n">
        <v>22</v>
      </c>
      <c r="C78" s="13" t="inlineStr">
        <is>
          <t>ARINC_WR_FAIL</t>
        </is>
      </c>
      <c r="F78" s="14">
        <f>IF(MID(F$41,2,1)="1",1,"")</f>
        <v/>
      </c>
      <c r="G78" s="14">
        <f>IF(MID(G$41,2,1)="1",1,"")</f>
        <v/>
      </c>
      <c r="H78" s="14">
        <f>IF(MID(H$41,2,1)="1",1,"")</f>
        <v/>
      </c>
      <c r="I78" s="14">
        <f>IF(MID(I$41,2,1)="1",1,"")</f>
        <v/>
      </c>
      <c r="J78" s="14">
        <f>IF(MID(J$41,2,1)="1",1,"")</f>
        <v/>
      </c>
      <c r="K78" s="14">
        <f>IF(MID(K$41,2,1)="1",1,"")</f>
        <v/>
      </c>
      <c r="L78" s="14">
        <f>IF(MID(L$41,2,1)="1",1,"")</f>
        <v/>
      </c>
      <c r="M78" s="14">
        <f>IF(MID(M$41,2,1)="1",1,"")</f>
        <v/>
      </c>
      <c r="N78" s="14">
        <f>IF(MID(N$41,2,1)="1",1,"")</f>
        <v/>
      </c>
      <c r="O78" s="14">
        <f>IF(MID(O$41,2,1)="1",1,"")</f>
        <v/>
      </c>
      <c r="P78" s="14">
        <f>IF(MID(P$41,2,1)="1",1,"")</f>
        <v/>
      </c>
      <c r="Q78" s="14">
        <f>IF(MID(Q$41,2,1)="1",1,"")</f>
        <v/>
      </c>
      <c r="R78" s="14">
        <f>IF(MID(R$41,2,1)="1",1,"")</f>
        <v/>
      </c>
      <c r="S78" s="14">
        <f>IF(MID(S$41,2,1)="1",1,"")</f>
        <v/>
      </c>
      <c r="T78" s="14">
        <f>IF(MID(T$41,2,1)="1",1,"")</f>
        <v/>
      </c>
      <c r="U78" s="14">
        <f>IF(MID(U$41,2,1)="1",1,"")</f>
        <v/>
      </c>
      <c r="V78" s="14">
        <f>IF(MID(V$41,2,1)="1",1,"")</f>
        <v/>
      </c>
      <c r="W78" s="14">
        <f>IF(MID(W$41,2,1)="1",1,"")</f>
        <v/>
      </c>
      <c r="X78" s="14">
        <f>IF(MID(X$41,2,1)="1",1,"")</f>
        <v/>
      </c>
      <c r="Y78" s="14">
        <f>IF(MID(Y$41,2,1)="1",1,"")</f>
        <v/>
      </c>
      <c r="Z78" s="14">
        <f>IF(MID(Z$41,2,1)="1",1,"")</f>
        <v/>
      </c>
      <c r="AA78" s="14">
        <f>IF(MID(AA$41,2,1)="1",1,"")</f>
        <v/>
      </c>
      <c r="AB78" s="14">
        <f>IF(MID(AB$41,2,1)="1",1,"")</f>
        <v/>
      </c>
      <c r="AC78" s="14">
        <f>IF(MID(AC$41,2,1)="1",1,"")</f>
        <v/>
      </c>
      <c r="AD78" s="14">
        <f>IF(MID(AD$41,2,1)="1",1,"")</f>
        <v/>
      </c>
      <c r="AE78" s="14">
        <f>IF(MID(AE$41,2,1)="1",1,"")</f>
        <v/>
      </c>
      <c r="AF78" s="14">
        <f>IF(MID(AF$41,2,1)="1",1,"")</f>
        <v/>
      </c>
      <c r="AG78" s="14">
        <f>IF(MID(AG$41,2,1)="1",1,"")</f>
        <v/>
      </c>
      <c r="AH78" s="14">
        <f>IF(MID(AH$41,2,1)="1",1,"")</f>
        <v/>
      </c>
      <c r="AI78" s="14">
        <f>IF(MID(AI$41,2,1)="1",1,"")</f>
        <v/>
      </c>
      <c r="AJ78" s="14">
        <f>IF(MID(AJ$41,2,1)="1",1,"")</f>
        <v/>
      </c>
      <c r="AK78" s="14">
        <f>IF(MID(AK$41,2,1)="1",1,"")</f>
        <v/>
      </c>
    </row>
    <row r="79">
      <c r="B79" t="n">
        <v>23</v>
      </c>
      <c r="C79" s="15" t="inlineStr">
        <is>
          <t>RS422_ACTIVITY_FAIL</t>
        </is>
      </c>
      <c r="F79" s="9">
        <f>IF(MID(F$41,1,1)="1",1,"")</f>
        <v/>
      </c>
      <c r="G79" s="9">
        <f>IF(MID(G$41,1,1)="1",1,"")</f>
        <v/>
      </c>
      <c r="H79" s="9">
        <f>IF(MID(H$41,1,1)="1",1,"")</f>
        <v/>
      </c>
      <c r="I79" s="9">
        <f>IF(MID(I$41,1,1)="1",1,"")</f>
        <v/>
      </c>
      <c r="J79" s="9">
        <f>IF(MID(J$41,1,1)="1",1,"")</f>
        <v/>
      </c>
      <c r="K79" s="9">
        <f>IF(MID(K$41,1,1)="1",1,"")</f>
        <v/>
      </c>
      <c r="L79" s="9">
        <f>IF(MID(L$41,1,1)="1",1,"")</f>
        <v/>
      </c>
      <c r="M79" s="9">
        <f>IF(MID(M$41,1,1)="1",1,"")</f>
        <v/>
      </c>
      <c r="N79" s="9">
        <f>IF(MID(N$41,1,1)="1",1,"")</f>
        <v/>
      </c>
      <c r="O79" s="9">
        <f>IF(MID(O$41,1,1)="1",1,"")</f>
        <v/>
      </c>
      <c r="P79" s="9">
        <f>IF(MID(P$41,1,1)="1",1,"")</f>
        <v/>
      </c>
      <c r="Q79" s="9">
        <f>IF(MID(Q$41,1,1)="1",1,"")</f>
        <v/>
      </c>
      <c r="R79" s="9">
        <f>IF(MID(R$41,1,1)="1",1,"")</f>
        <v/>
      </c>
      <c r="S79" s="9">
        <f>IF(MID(S$41,1,1)="1",1,"")</f>
        <v/>
      </c>
      <c r="T79" s="9">
        <f>IF(MID(T$41,1,1)="1",1,"")</f>
        <v/>
      </c>
      <c r="U79" s="9">
        <f>IF(MID(U$41,1,1)="1",1,"")</f>
        <v/>
      </c>
      <c r="V79" s="9">
        <f>IF(MID(V$41,1,1)="1",1,"")</f>
        <v/>
      </c>
      <c r="W79" s="9">
        <f>IF(MID(W$41,1,1)="1",1,"")</f>
        <v/>
      </c>
      <c r="X79" s="9">
        <f>IF(MID(X$41,1,1)="1",1,"")</f>
        <v/>
      </c>
      <c r="Y79" s="9">
        <f>IF(MID(Y$41,1,1)="1",1,"")</f>
        <v/>
      </c>
      <c r="Z79" s="9">
        <f>IF(MID(Z$41,1,1)="1",1,"")</f>
        <v/>
      </c>
      <c r="AA79" s="9">
        <f>IF(MID(AA$41,1,1)="1",1,"")</f>
        <v/>
      </c>
      <c r="AB79" s="9">
        <f>IF(MID(AB$41,1,1)="1",1,"")</f>
        <v/>
      </c>
      <c r="AC79" s="9">
        <f>IF(MID(AC$41,1,1)="1",1,"")</f>
        <v/>
      </c>
      <c r="AD79" s="9">
        <f>IF(MID(AD$41,1,1)="1",1,"")</f>
        <v/>
      </c>
      <c r="AE79" s="9">
        <f>IF(MID(AE$41,1,1)="1",1,"")</f>
        <v/>
      </c>
      <c r="AF79" s="9">
        <f>IF(MID(AF$41,1,1)="1",1,"")</f>
        <v/>
      </c>
      <c r="AG79" s="9">
        <f>IF(MID(AG$41,1,1)="1",1,"")</f>
        <v/>
      </c>
      <c r="AH79" s="9">
        <f>IF(MID(AH$41,1,1)="1",1,"")</f>
        <v/>
      </c>
      <c r="AI79" s="9">
        <f>IF(MID(AI$41,1,1)="1",1,"")</f>
        <v/>
      </c>
      <c r="AJ79" s="9">
        <f>IF(MID(AJ$41,1,1)="1",1,"")</f>
        <v/>
      </c>
      <c r="AK79" s="9">
        <f>IF(MID(AK$41,1,1)="1",1,"")</f>
        <v/>
      </c>
    </row>
    <row r="80" customFormat="1" s="7">
      <c r="B80" s="7" t="n">
        <v>24</v>
      </c>
      <c r="C80" s="13" t="inlineStr">
        <is>
          <t>SLEW_RATE_CLOSE_FAIL</t>
        </is>
      </c>
      <c r="F80" s="14">
        <f>IF(MID(F$42,8,1)="1",1,"")</f>
        <v/>
      </c>
      <c r="G80" s="14">
        <f>IF(MID(G$42,8,1)="1",1,"")</f>
        <v/>
      </c>
      <c r="H80" s="14">
        <f>IF(MID(H$42,8,1)="1",1,"")</f>
        <v/>
      </c>
      <c r="I80" s="14">
        <f>IF(MID(I$42,8,1)="1",1,"")</f>
        <v/>
      </c>
      <c r="J80" s="14">
        <f>IF(MID(J$42,8,1)="1",1,"")</f>
        <v/>
      </c>
      <c r="K80" s="14">
        <f>IF(MID(K$42,8,1)="1",1,"")</f>
        <v/>
      </c>
      <c r="L80" s="14">
        <f>IF(MID(L$42,8,1)="1",1,"")</f>
        <v/>
      </c>
      <c r="M80" s="14">
        <f>IF(MID(M$42,8,1)="1",1,"")</f>
        <v/>
      </c>
      <c r="N80" s="14">
        <f>IF(MID(N$42,8,1)="1",1,"")</f>
        <v/>
      </c>
      <c r="O80" s="14">
        <f>IF(MID(O$42,8,1)="1",1,"")</f>
        <v/>
      </c>
      <c r="P80" s="14">
        <f>IF(MID(P$42,8,1)="1",1,"")</f>
        <v/>
      </c>
      <c r="Q80" s="14">
        <f>IF(MID(Q$42,8,1)="1",1,"")</f>
        <v/>
      </c>
      <c r="R80" s="14">
        <f>IF(MID(R$42,8,1)="1",1,"")</f>
        <v/>
      </c>
      <c r="S80" s="14">
        <f>IF(MID(S$42,8,1)="1",1,"")</f>
        <v/>
      </c>
      <c r="T80" s="14">
        <f>IF(MID(T$42,8,1)="1",1,"")</f>
        <v/>
      </c>
      <c r="U80" s="14">
        <f>IF(MID(U$42,8,1)="1",1,"")</f>
        <v/>
      </c>
      <c r="V80" s="14">
        <f>IF(MID(V$42,8,1)="1",1,"")</f>
        <v/>
      </c>
      <c r="W80" s="14">
        <f>IF(MID(W$42,8,1)="1",1,"")</f>
        <v/>
      </c>
      <c r="X80" s="14">
        <f>IF(MID(X$42,8,1)="1",1,"")</f>
        <v/>
      </c>
      <c r="Y80" s="14">
        <f>IF(MID(Y$42,8,1)="1",1,"")</f>
        <v/>
      </c>
      <c r="Z80" s="14">
        <f>IF(MID(Z$42,8,1)="1",1,"")</f>
        <v/>
      </c>
      <c r="AA80" s="14">
        <f>IF(MID(AA$42,8,1)="1",1,"")</f>
        <v/>
      </c>
      <c r="AB80" s="14">
        <f>IF(MID(AB$42,8,1)="1",1,"")</f>
        <v/>
      </c>
      <c r="AC80" s="14">
        <f>IF(MID(AC$42,8,1)="1",1,"")</f>
        <v/>
      </c>
      <c r="AD80" s="14">
        <f>IF(MID(AD$42,8,1)="1",1,"")</f>
        <v/>
      </c>
      <c r="AE80" s="14">
        <f>IF(MID(AE$42,8,1)="1",1,"")</f>
        <v/>
      </c>
      <c r="AF80" s="14">
        <f>IF(MID(AF$42,8,1)="1",1,"")</f>
        <v/>
      </c>
      <c r="AG80" s="14">
        <f>IF(MID(AG$42,8,1)="1",1,"")</f>
        <v/>
      </c>
      <c r="AH80" s="14">
        <f>IF(MID(AH$42,8,1)="1",1,"")</f>
        <v/>
      </c>
      <c r="AI80" s="14">
        <f>IF(MID(AI$42,8,1)="1",1,"")</f>
        <v/>
      </c>
      <c r="AJ80" s="14">
        <f>IF(MID(AJ$42,8,1)="1",1,"")</f>
        <v/>
      </c>
      <c r="AK80" s="14">
        <f>IF(MID(AK$42,8,1)="1",1,"")</f>
        <v/>
      </c>
    </row>
    <row r="81">
      <c r="B81" t="n">
        <v>25</v>
      </c>
      <c r="C81" s="15" t="inlineStr">
        <is>
          <t>ZCAL_OPEN_FAIL</t>
        </is>
      </c>
      <c r="F81" s="9">
        <f>IF(MID(F$42,7,1)="1",1,"")</f>
        <v/>
      </c>
      <c r="G81" s="9">
        <f>IF(MID(G$42,7,1)="1",1,"")</f>
        <v/>
      </c>
      <c r="H81" s="9">
        <f>IF(MID(H$42,7,1)="1",1,"")</f>
        <v/>
      </c>
      <c r="I81" s="9">
        <f>IF(MID(I$42,7,1)="1",1,"")</f>
        <v/>
      </c>
      <c r="J81" s="9">
        <f>IF(MID(J$42,7,1)="1",1,"")</f>
        <v/>
      </c>
      <c r="K81" s="9">
        <f>IF(MID(K$42,7,1)="1",1,"")</f>
        <v/>
      </c>
      <c r="L81" s="9">
        <f>IF(MID(L$42,7,1)="1",1,"")</f>
        <v/>
      </c>
      <c r="M81" s="9">
        <f>IF(MID(M$42,7,1)="1",1,"")</f>
        <v/>
      </c>
      <c r="N81" s="9">
        <f>IF(MID(N$42,7,1)="1",1,"")</f>
        <v/>
      </c>
      <c r="O81" s="9">
        <f>IF(MID(O$42,7,1)="1",1,"")</f>
        <v/>
      </c>
      <c r="P81" s="9">
        <f>IF(MID(P$42,7,1)="1",1,"")</f>
        <v/>
      </c>
      <c r="Q81" s="9">
        <f>IF(MID(Q$42,7,1)="1",1,"")</f>
        <v/>
      </c>
      <c r="R81" s="9">
        <f>IF(MID(R$42,7,1)="1",1,"")</f>
        <v/>
      </c>
      <c r="S81" s="9">
        <f>IF(MID(S$42,7,1)="1",1,"")</f>
        <v/>
      </c>
      <c r="T81" s="9">
        <f>IF(MID(T$42,7,1)="1",1,"")</f>
        <v/>
      </c>
      <c r="U81" s="9">
        <f>IF(MID(U$42,7,1)="1",1,"")</f>
        <v/>
      </c>
      <c r="V81" s="9">
        <f>IF(MID(V$42,7,1)="1",1,"")</f>
        <v/>
      </c>
      <c r="W81" s="9">
        <f>IF(MID(W$42,7,1)="1",1,"")</f>
        <v/>
      </c>
      <c r="X81" s="9">
        <f>IF(MID(X$42,7,1)="1",1,"")</f>
        <v/>
      </c>
      <c r="Y81" s="9">
        <f>IF(MID(Y$42,7,1)="1",1,"")</f>
        <v/>
      </c>
      <c r="Z81" s="9">
        <f>IF(MID(Z$42,7,1)="1",1,"")</f>
        <v/>
      </c>
      <c r="AA81" s="9">
        <f>IF(MID(AA$42,7,1)="1",1,"")</f>
        <v/>
      </c>
      <c r="AB81" s="9">
        <f>IF(MID(AB$42,7,1)="1",1,"")</f>
        <v/>
      </c>
      <c r="AC81" s="9">
        <f>IF(MID(AC$42,7,1)="1",1,"")</f>
        <v/>
      </c>
      <c r="AD81" s="9">
        <f>IF(MID(AD$42,7,1)="1",1,"")</f>
        <v/>
      </c>
      <c r="AE81" s="9">
        <f>IF(MID(AE$42,7,1)="1",1,"")</f>
        <v/>
      </c>
      <c r="AF81" s="9">
        <f>IF(MID(AF$42,7,1)="1",1,"")</f>
        <v/>
      </c>
      <c r="AG81" s="9">
        <f>IF(MID(AG$42,7,1)="1",1,"")</f>
        <v/>
      </c>
      <c r="AH81" s="9">
        <f>IF(MID(AH$42,7,1)="1",1,"")</f>
        <v/>
      </c>
      <c r="AI81" s="9">
        <f>IF(MID(AI$42,7,1)="1",1,"")</f>
        <v/>
      </c>
      <c r="AJ81" s="9">
        <f>IF(MID(AJ$42,7,1)="1",1,"")</f>
        <v/>
      </c>
      <c r="AK81" s="9">
        <f>IF(MID(AK$42,7,1)="1",1,"")</f>
        <v/>
      </c>
    </row>
    <row r="82" customFormat="1" s="7">
      <c r="B82" s="7" t="n">
        <v>26</v>
      </c>
      <c r="C82" s="13" t="inlineStr">
        <is>
          <t>ZCAL_CLOSE_FAIL</t>
        </is>
      </c>
      <c r="F82" s="14">
        <f>IF(MID(F$42,6,1)="1",1,"")</f>
        <v/>
      </c>
      <c r="G82" s="14">
        <f>IF(MID(G$42,6,1)="1",1,"")</f>
        <v/>
      </c>
      <c r="H82" s="14">
        <f>IF(MID(H$42,6,1)="1",1,"")</f>
        <v/>
      </c>
      <c r="I82" s="14">
        <f>IF(MID(I$42,6,1)="1",1,"")</f>
        <v/>
      </c>
      <c r="J82" s="14">
        <f>IF(MID(J$42,6,1)="1",1,"")</f>
        <v/>
      </c>
      <c r="K82" s="14">
        <f>IF(MID(K$42,6,1)="1",1,"")</f>
        <v/>
      </c>
      <c r="L82" s="14">
        <f>IF(MID(L$42,6,1)="1",1,"")</f>
        <v/>
      </c>
      <c r="M82" s="14">
        <f>IF(MID(M$42,6,1)="1",1,"")</f>
        <v/>
      </c>
      <c r="N82" s="14">
        <f>IF(MID(N$42,6,1)="1",1,"")</f>
        <v/>
      </c>
      <c r="O82" s="14">
        <f>IF(MID(O$42,6,1)="1",1,"")</f>
        <v/>
      </c>
      <c r="P82" s="14">
        <f>IF(MID(P$42,6,1)="1",1,"")</f>
        <v/>
      </c>
      <c r="Q82" s="14">
        <f>IF(MID(Q$42,6,1)="1",1,"")</f>
        <v/>
      </c>
      <c r="R82" s="14">
        <f>IF(MID(R$42,6,1)="1",1,"")</f>
        <v/>
      </c>
      <c r="S82" s="14">
        <f>IF(MID(S$42,6,1)="1",1,"")</f>
        <v/>
      </c>
      <c r="T82" s="14">
        <f>IF(MID(T$42,6,1)="1",1,"")</f>
        <v/>
      </c>
      <c r="U82" s="14">
        <f>IF(MID(U$42,6,1)="1",1,"")</f>
        <v/>
      </c>
      <c r="V82" s="14">
        <f>IF(MID(V$42,6,1)="1",1,"")</f>
        <v/>
      </c>
      <c r="W82" s="14">
        <f>IF(MID(W$42,6,1)="1",1,"")</f>
        <v/>
      </c>
      <c r="X82" s="14">
        <f>IF(MID(X$42,6,1)="1",1,"")</f>
        <v/>
      </c>
      <c r="Y82" s="14">
        <f>IF(MID(Y$42,6,1)="1",1,"")</f>
        <v/>
      </c>
      <c r="Z82" s="14">
        <f>IF(MID(Z$42,6,1)="1",1,"")</f>
        <v/>
      </c>
      <c r="AA82" s="14">
        <f>IF(MID(AA$42,6,1)="1",1,"")</f>
        <v/>
      </c>
      <c r="AB82" s="14">
        <f>IF(MID(AB$42,6,1)="1",1,"")</f>
        <v/>
      </c>
      <c r="AC82" s="14">
        <f>IF(MID(AC$42,6,1)="1",1,"")</f>
        <v/>
      </c>
      <c r="AD82" s="14">
        <f>IF(MID(AD$42,6,1)="1",1,"")</f>
        <v/>
      </c>
      <c r="AE82" s="14">
        <f>IF(MID(AE$42,6,1)="1",1,"")</f>
        <v/>
      </c>
      <c r="AF82" s="14">
        <f>IF(MID(AF$42,6,1)="1",1,"")</f>
        <v/>
      </c>
      <c r="AG82" s="14">
        <f>IF(MID(AG$42,6,1)="1",1,"")</f>
        <v/>
      </c>
      <c r="AH82" s="14">
        <f>IF(MID(AH$42,6,1)="1",1,"")</f>
        <v/>
      </c>
      <c r="AI82" s="14">
        <f>IF(MID(AI$42,6,1)="1",1,"")</f>
        <v/>
      </c>
      <c r="AJ82" s="14">
        <f>IF(MID(AJ$42,6,1)="1",1,"")</f>
        <v/>
      </c>
      <c r="AK82" s="14">
        <f>IF(MID(AK$42,6,1)="1",1,"")</f>
        <v/>
      </c>
    </row>
    <row r="83">
      <c r="B83" t="n">
        <v>27</v>
      </c>
      <c r="C83" s="15" t="inlineStr">
        <is>
          <t>ADIRS3_DATA_OUT_OF_RANGE</t>
        </is>
      </c>
      <c r="F83" s="9">
        <f>IF(MID(F$42,5,1)="1",1,"")</f>
        <v/>
      </c>
      <c r="G83" s="9">
        <f>IF(MID(G$42,5,1)="1",1,"")</f>
        <v/>
      </c>
      <c r="H83" s="9">
        <f>IF(MID(H$42,5,1)="1",1,"")</f>
        <v/>
      </c>
      <c r="I83" s="9">
        <f>IF(MID(I$42,5,1)="1",1,"")</f>
        <v/>
      </c>
      <c r="J83" s="9">
        <f>IF(MID(J$42,5,1)="1",1,"")</f>
        <v/>
      </c>
      <c r="K83" s="9">
        <f>IF(MID(K$42,5,1)="1",1,"")</f>
        <v/>
      </c>
      <c r="L83" s="9">
        <f>IF(MID(L$42,5,1)="1",1,"")</f>
        <v/>
      </c>
      <c r="M83" s="9">
        <f>IF(MID(M$42,5,1)="1",1,"")</f>
        <v/>
      </c>
      <c r="N83" s="9">
        <f>IF(MID(N$42,5,1)="1",1,"")</f>
        <v/>
      </c>
      <c r="O83" s="9">
        <f>IF(MID(O$42,5,1)="1",1,"")</f>
        <v/>
      </c>
      <c r="P83" s="9">
        <f>IF(MID(P$42,5,1)="1",1,"")</f>
        <v/>
      </c>
      <c r="Q83" s="9">
        <f>IF(MID(Q$42,5,1)="1",1,"")</f>
        <v/>
      </c>
      <c r="R83" s="9">
        <f>IF(MID(R$42,5,1)="1",1,"")</f>
        <v/>
      </c>
      <c r="S83" s="9">
        <f>IF(MID(S$42,5,1)="1",1,"")</f>
        <v/>
      </c>
      <c r="T83" s="9">
        <f>IF(MID(T$42,5,1)="1",1,"")</f>
        <v/>
      </c>
      <c r="U83" s="9">
        <f>IF(MID(U$42,5,1)="1",1,"")</f>
        <v/>
      </c>
      <c r="V83" s="9">
        <f>IF(MID(V$42,5,1)="1",1,"")</f>
        <v/>
      </c>
      <c r="W83" s="9">
        <f>IF(MID(W$42,5,1)="1",1,"")</f>
        <v/>
      </c>
      <c r="X83" s="9">
        <f>IF(MID(X$42,5,1)="1",1,"")</f>
        <v/>
      </c>
      <c r="Y83" s="9">
        <f>IF(MID(Y$42,5,1)="1",1,"")</f>
        <v/>
      </c>
      <c r="Z83" s="9">
        <f>IF(MID(Z$42,5,1)="1",1,"")</f>
        <v/>
      </c>
      <c r="AA83" s="9">
        <f>IF(MID(AA$42,5,1)="1",1,"")</f>
        <v/>
      </c>
      <c r="AB83" s="9">
        <f>IF(MID(AB$42,5,1)="1",1,"")</f>
        <v/>
      </c>
      <c r="AC83" s="9">
        <f>IF(MID(AC$42,5,1)="1",1,"")</f>
        <v/>
      </c>
      <c r="AD83" s="9">
        <f>IF(MID(AD$42,5,1)="1",1,"")</f>
        <v/>
      </c>
      <c r="AE83" s="9">
        <f>IF(MID(AE$42,5,1)="1",1,"")</f>
        <v/>
      </c>
      <c r="AF83" s="9">
        <f>IF(MID(AF$42,5,1)="1",1,"")</f>
        <v/>
      </c>
      <c r="AG83" s="9">
        <f>IF(MID(AG$42,5,1)="1",1,"")</f>
        <v/>
      </c>
      <c r="AH83" s="9">
        <f>IF(MID(AH$42,5,1)="1",1,"")</f>
        <v/>
      </c>
      <c r="AI83" s="9">
        <f>IF(MID(AI$42,5,1)="1",1,"")</f>
        <v/>
      </c>
      <c r="AJ83" s="9">
        <f>IF(MID(AJ$42,5,1)="1",1,"")</f>
        <v/>
      </c>
      <c r="AK83" s="9">
        <f>IF(MID(AK$42,5,1)="1",1,"")</f>
        <v/>
      </c>
    </row>
    <row r="84" customFormat="1" s="7">
      <c r="B84" s="7" t="n">
        <v>28</v>
      </c>
      <c r="C84" s="13" t="inlineStr">
        <is>
          <t>STATE_CHANGE_DURING_SCBIT</t>
        </is>
      </c>
      <c r="F84" s="14">
        <f>IF(MID(F$42,4,1)="1",1,"")</f>
        <v/>
      </c>
      <c r="G84" s="14">
        <f>IF(MID(G$42,4,1)="1",1,"")</f>
        <v/>
      </c>
      <c r="H84" s="14">
        <f>IF(MID(H$42,4,1)="1",1,"")</f>
        <v/>
      </c>
      <c r="I84" s="14">
        <f>IF(MID(I$42,4,1)="1",1,"")</f>
        <v/>
      </c>
      <c r="J84" s="14">
        <f>IF(MID(J$42,4,1)="1",1,"")</f>
        <v/>
      </c>
      <c r="K84" s="14">
        <f>IF(MID(K$42,4,1)="1",1,"")</f>
        <v/>
      </c>
      <c r="L84" s="14">
        <f>IF(MID(L$42,4,1)="1",1,"")</f>
        <v/>
      </c>
      <c r="M84" s="14">
        <f>IF(MID(M$42,4,1)="1",1,"")</f>
        <v/>
      </c>
      <c r="N84" s="14">
        <f>IF(MID(N$42,4,1)="1",1,"")</f>
        <v/>
      </c>
      <c r="O84" s="14">
        <f>IF(MID(O$42,4,1)="1",1,"")</f>
        <v/>
      </c>
      <c r="P84" s="14">
        <f>IF(MID(P$42,4,1)="1",1,"")</f>
        <v/>
      </c>
      <c r="Q84" s="14">
        <f>IF(MID(Q$42,4,1)="1",1,"")</f>
        <v/>
      </c>
      <c r="R84" s="14">
        <f>IF(MID(R$42,4,1)="1",1,"")</f>
        <v/>
      </c>
      <c r="S84" s="14">
        <f>IF(MID(S$42,4,1)="1",1,"")</f>
        <v/>
      </c>
      <c r="T84" s="14">
        <f>IF(MID(T$42,4,1)="1",1,"")</f>
        <v/>
      </c>
      <c r="U84" s="14">
        <f>IF(MID(U$42,4,1)="1",1,"")</f>
        <v/>
      </c>
      <c r="V84" s="14">
        <f>IF(MID(V$42,4,1)="1",1,"")</f>
        <v/>
      </c>
      <c r="W84" s="14">
        <f>IF(MID(W$42,4,1)="1",1,"")</f>
        <v/>
      </c>
      <c r="X84" s="14">
        <f>IF(MID(X$42,4,1)="1",1,"")</f>
        <v/>
      </c>
      <c r="Y84" s="14">
        <f>IF(MID(Y$42,4,1)="1",1,"")</f>
        <v/>
      </c>
      <c r="Z84" s="14">
        <f>IF(MID(Z$42,4,1)="1",1,"")</f>
        <v/>
      </c>
      <c r="AA84" s="14">
        <f>IF(MID(AA$42,4,1)="1",1,"")</f>
        <v/>
      </c>
      <c r="AB84" s="14">
        <f>IF(MID(AB$42,4,1)="1",1,"")</f>
        <v/>
      </c>
      <c r="AC84" s="14">
        <f>IF(MID(AC$42,4,1)="1",1,"")</f>
        <v/>
      </c>
      <c r="AD84" s="14">
        <f>IF(MID(AD$42,4,1)="1",1,"")</f>
        <v/>
      </c>
      <c r="AE84" s="14">
        <f>IF(MID(AE$42,4,1)="1",1,"")</f>
        <v/>
      </c>
      <c r="AF84" s="14">
        <f>IF(MID(AF$42,4,1)="1",1,"")</f>
        <v/>
      </c>
      <c r="AG84" s="14">
        <f>IF(MID(AG$42,4,1)="1",1,"")</f>
        <v/>
      </c>
      <c r="AH84" s="14">
        <f>IF(MID(AH$42,4,1)="1",1,"")</f>
        <v/>
      </c>
      <c r="AI84" s="14">
        <f>IF(MID(AI$42,4,1)="1",1,"")</f>
        <v/>
      </c>
      <c r="AJ84" s="14">
        <f>IF(MID(AJ$42,4,1)="1",1,"")</f>
        <v/>
      </c>
      <c r="AK84" s="14">
        <f>IF(MID(AK$42,4,1)="1",1,"")</f>
        <v/>
      </c>
    </row>
    <row r="85">
      <c r="B85" t="n">
        <v>29</v>
      </c>
      <c r="C85" s="15" t="inlineStr">
        <is>
          <t>SCBIT_START_FAIL</t>
        </is>
      </c>
      <c r="F85" s="9">
        <f>IF(MID(F$42,3,1)="1",1,"")</f>
        <v/>
      </c>
      <c r="G85" s="9">
        <f>IF(MID(G$42,3,1)="1",1,"")</f>
        <v/>
      </c>
      <c r="H85" s="9">
        <f>IF(MID(H$42,3,1)="1",1,"")</f>
        <v/>
      </c>
      <c r="I85" s="9">
        <f>IF(MID(I$42,3,1)="1",1,"")</f>
        <v/>
      </c>
      <c r="J85" s="9">
        <f>IF(MID(J$42,3,1)="1",1,"")</f>
        <v/>
      </c>
      <c r="K85" s="9">
        <f>IF(MID(K$42,3,1)="1",1,"")</f>
        <v/>
      </c>
      <c r="L85" s="9">
        <f>IF(MID(L$42,3,1)="1",1,"")</f>
        <v/>
      </c>
      <c r="M85" s="9">
        <f>IF(MID(M$42,3,1)="1",1,"")</f>
        <v/>
      </c>
      <c r="N85" s="9">
        <f>IF(MID(N$42,3,1)="1",1,"")</f>
        <v/>
      </c>
      <c r="O85" s="9">
        <f>IF(MID(O$42,3,1)="1",1,"")</f>
        <v/>
      </c>
      <c r="P85" s="9">
        <f>IF(MID(P$42,3,1)="1",1,"")</f>
        <v/>
      </c>
      <c r="Q85" s="9">
        <f>IF(MID(Q$42,3,1)="1",1,"")</f>
        <v/>
      </c>
      <c r="R85" s="9">
        <f>IF(MID(R$42,3,1)="1",1,"")</f>
        <v/>
      </c>
      <c r="S85" s="9">
        <f>IF(MID(S$42,3,1)="1",1,"")</f>
        <v/>
      </c>
      <c r="T85" s="9">
        <f>IF(MID(T$42,3,1)="1",1,"")</f>
        <v/>
      </c>
      <c r="U85" s="9">
        <f>IF(MID(U$42,3,1)="1",1,"")</f>
        <v/>
      </c>
      <c r="V85" s="9">
        <f>IF(MID(V$42,3,1)="1",1,"")</f>
        <v/>
      </c>
      <c r="W85" s="9">
        <f>IF(MID(W$42,3,1)="1",1,"")</f>
        <v/>
      </c>
      <c r="X85" s="9">
        <f>IF(MID(X$42,3,1)="1",1,"")</f>
        <v/>
      </c>
      <c r="Y85" s="9">
        <f>IF(MID(Y$42,3,1)="1",1,"")</f>
        <v/>
      </c>
      <c r="Z85" s="9">
        <f>IF(MID(Z$42,3,1)="1",1,"")</f>
        <v/>
      </c>
      <c r="AA85" s="9">
        <f>IF(MID(AA$42,3,1)="1",1,"")</f>
        <v/>
      </c>
      <c r="AB85" s="9">
        <f>IF(MID(AB$42,3,1)="1",1,"")</f>
        <v/>
      </c>
      <c r="AC85" s="9">
        <f>IF(MID(AC$42,3,1)="1",1,"")</f>
        <v/>
      </c>
      <c r="AD85" s="9">
        <f>IF(MID(AD$42,3,1)="1",1,"")</f>
        <v/>
      </c>
      <c r="AE85" s="9">
        <f>IF(MID(AE$42,3,1)="1",1,"")</f>
        <v/>
      </c>
      <c r="AF85" s="9">
        <f>IF(MID(AF$42,3,1)="1",1,"")</f>
        <v/>
      </c>
      <c r="AG85" s="9">
        <f>IF(MID(AG$42,3,1)="1",1,"")</f>
        <v/>
      </c>
      <c r="AH85" s="9">
        <f>IF(MID(AH$42,3,1)="1",1,"")</f>
        <v/>
      </c>
      <c r="AI85" s="9">
        <f>IF(MID(AI$42,3,1)="1",1,"")</f>
        <v/>
      </c>
      <c r="AJ85" s="9">
        <f>IF(MID(AJ$42,3,1)="1",1,"")</f>
        <v/>
      </c>
      <c r="AK85" s="9">
        <f>IF(MID(AK$42,3,1)="1",1,"")</f>
        <v/>
      </c>
    </row>
    <row r="86" customFormat="1" s="7">
      <c r="B86" s="7" t="n">
        <v>30</v>
      </c>
      <c r="C86" s="13" t="inlineStr">
        <is>
          <t>PC_VERSUS_PA_FAIL</t>
        </is>
      </c>
      <c r="F86" s="14">
        <f>IF(MID(F$42,2,1)="1",1,"")</f>
        <v/>
      </c>
      <c r="G86" s="14">
        <f>IF(MID(G$42,2,1)="1",1,"")</f>
        <v/>
      </c>
      <c r="H86" s="14">
        <f>IF(MID(H$42,2,1)="1",1,"")</f>
        <v/>
      </c>
      <c r="I86" s="14">
        <f>IF(MID(I$42,2,1)="1",1,"")</f>
        <v/>
      </c>
      <c r="J86" s="14">
        <f>IF(MID(J$42,2,1)="1",1,"")</f>
        <v/>
      </c>
      <c r="K86" s="14">
        <f>IF(MID(K$42,2,1)="1",1,"")</f>
        <v/>
      </c>
      <c r="L86" s="14">
        <f>IF(MID(L$42,2,1)="1",1,"")</f>
        <v/>
      </c>
      <c r="M86" s="14">
        <f>IF(MID(M$42,2,1)="1",1,"")</f>
        <v/>
      </c>
      <c r="N86" s="14">
        <f>IF(MID(N$42,2,1)="1",1,"")</f>
        <v/>
      </c>
      <c r="O86" s="14">
        <f>IF(MID(O$42,2,1)="1",1,"")</f>
        <v/>
      </c>
      <c r="P86" s="14">
        <f>IF(MID(P$42,2,1)="1",1,"")</f>
        <v/>
      </c>
      <c r="Q86" s="14">
        <f>IF(MID(Q$42,2,1)="1",1,"")</f>
        <v/>
      </c>
      <c r="R86" s="14">
        <f>IF(MID(R$42,2,1)="1",1,"")</f>
        <v/>
      </c>
      <c r="S86" s="14">
        <f>IF(MID(S$42,2,1)="1",1,"")</f>
        <v/>
      </c>
      <c r="T86" s="14">
        <f>IF(MID(T$42,2,1)="1",1,"")</f>
        <v/>
      </c>
      <c r="U86" s="14">
        <f>IF(MID(U$42,2,1)="1",1,"")</f>
        <v/>
      </c>
      <c r="V86" s="14">
        <f>IF(MID(V$42,2,1)="1",1,"")</f>
        <v/>
      </c>
      <c r="W86" s="14">
        <f>IF(MID(W$42,2,1)="1",1,"")</f>
        <v/>
      </c>
      <c r="X86" s="14">
        <f>IF(MID(X$42,2,1)="1",1,"")</f>
        <v/>
      </c>
      <c r="Y86" s="14">
        <f>IF(MID(Y$42,2,1)="1",1,"")</f>
        <v/>
      </c>
      <c r="Z86" s="14">
        <f>IF(MID(Z$42,2,1)="1",1,"")</f>
        <v/>
      </c>
      <c r="AA86" s="14">
        <f>IF(MID(AA$42,2,1)="1",1,"")</f>
        <v/>
      </c>
      <c r="AB86" s="14">
        <f>IF(MID(AB$42,2,1)="1",1,"")</f>
        <v/>
      </c>
      <c r="AC86" s="14">
        <f>IF(MID(AC$42,2,1)="1",1,"")</f>
        <v/>
      </c>
      <c r="AD86" s="14">
        <f>IF(MID(AD$42,2,1)="1",1,"")</f>
        <v/>
      </c>
      <c r="AE86" s="14">
        <f>IF(MID(AE$42,2,1)="1",1,"")</f>
        <v/>
      </c>
      <c r="AF86" s="14">
        <f>IF(MID(AF$42,2,1)="1",1,"")</f>
        <v/>
      </c>
      <c r="AG86" s="14">
        <f>IF(MID(AG$42,2,1)="1",1,"")</f>
        <v/>
      </c>
      <c r="AH86" s="14">
        <f>IF(MID(AH$42,2,1)="1",1,"")</f>
        <v/>
      </c>
      <c r="AI86" s="14">
        <f>IF(MID(AI$42,2,1)="1",1,"")</f>
        <v/>
      </c>
      <c r="AJ86" s="14">
        <f>IF(MID(AJ$42,2,1)="1",1,"")</f>
        <v/>
      </c>
      <c r="AK86" s="14">
        <f>IF(MID(AK$42,2,1)="1",1,"")</f>
        <v/>
      </c>
    </row>
    <row r="87">
      <c r="B87" t="n">
        <v>31</v>
      </c>
      <c r="C87" s="15" t="inlineStr">
        <is>
          <t>PC_EBOX_VERSUS_PA_FAIL</t>
        </is>
      </c>
      <c r="F87" s="9">
        <f>IF(MID(F$42,1,1)="1",1,"")</f>
        <v/>
      </c>
      <c r="G87" s="9">
        <f>IF(MID(G$42,1,1)="1",1,"")</f>
        <v/>
      </c>
      <c r="H87" s="9">
        <f>IF(MID(H$42,1,1)="1",1,"")</f>
        <v/>
      </c>
      <c r="I87" s="9">
        <f>IF(MID(I$42,1,1)="1",1,"")</f>
        <v/>
      </c>
      <c r="J87" s="9">
        <f>IF(MID(J$42,1,1)="1",1,"")</f>
        <v/>
      </c>
      <c r="K87" s="9">
        <f>IF(MID(K$42,1,1)="1",1,"")</f>
        <v/>
      </c>
      <c r="L87" s="9">
        <f>IF(MID(L$42,1,1)="1",1,"")</f>
        <v/>
      </c>
      <c r="M87" s="9">
        <f>IF(MID(M$42,1,1)="1",1,"")</f>
        <v/>
      </c>
      <c r="N87" s="9">
        <f>IF(MID(N$42,1,1)="1",1,"")</f>
        <v/>
      </c>
      <c r="O87" s="9">
        <f>IF(MID(O$42,1,1)="1",1,"")</f>
        <v/>
      </c>
      <c r="P87" s="9">
        <f>IF(MID(P$42,1,1)="1",1,"")</f>
        <v/>
      </c>
      <c r="Q87" s="9">
        <f>IF(MID(Q$42,1,1)="1",1,"")</f>
        <v/>
      </c>
      <c r="R87" s="9">
        <f>IF(MID(R$42,1,1)="1",1,"")</f>
        <v/>
      </c>
      <c r="S87" s="9">
        <f>IF(MID(S$42,1,1)="1",1,"")</f>
        <v/>
      </c>
      <c r="T87" s="9">
        <f>IF(MID(T$42,1,1)="1",1,"")</f>
        <v/>
      </c>
      <c r="U87" s="9">
        <f>IF(MID(U$42,1,1)="1",1,"")</f>
        <v/>
      </c>
      <c r="V87" s="9">
        <f>IF(MID(V$42,1,1)="1",1,"")</f>
        <v/>
      </c>
      <c r="W87" s="9">
        <f>IF(MID(W$42,1,1)="1",1,"")</f>
        <v/>
      </c>
      <c r="X87" s="9">
        <f>IF(MID(X$42,1,1)="1",1,"")</f>
        <v/>
      </c>
      <c r="Y87" s="9">
        <f>IF(MID(Y$42,1,1)="1",1,"")</f>
        <v/>
      </c>
      <c r="Z87" s="9">
        <f>IF(MID(Z$42,1,1)="1",1,"")</f>
        <v/>
      </c>
      <c r="AA87" s="9">
        <f>IF(MID(AA$42,1,1)="1",1,"")</f>
        <v/>
      </c>
      <c r="AB87" s="9">
        <f>IF(MID(AB$42,1,1)="1",1,"")</f>
        <v/>
      </c>
      <c r="AC87" s="9">
        <f>IF(MID(AC$42,1,1)="1",1,"")</f>
        <v/>
      </c>
      <c r="AD87" s="9">
        <f>IF(MID(AD$42,1,1)="1",1,"")</f>
        <v/>
      </c>
      <c r="AE87" s="9">
        <f>IF(MID(AE$42,1,1)="1",1,"")</f>
        <v/>
      </c>
      <c r="AF87" s="9">
        <f>IF(MID(AF$42,1,1)="1",1,"")</f>
        <v/>
      </c>
      <c r="AG87" s="9">
        <f>IF(MID(AG$42,1,1)="1",1,"")</f>
        <v/>
      </c>
      <c r="AH87" s="9">
        <f>IF(MID(AH$42,1,1)="1",1,"")</f>
        <v/>
      </c>
      <c r="AI87" s="9">
        <f>IF(MID(AI$42,1,1)="1",1,"")</f>
        <v/>
      </c>
      <c r="AJ87" s="9">
        <f>IF(MID(AJ$42,1,1)="1",1,"")</f>
        <v/>
      </c>
      <c r="AK87" s="9">
        <f>IF(MID(AK$42,1,1)="1",1,"")</f>
        <v/>
      </c>
    </row>
    <row r="88" customFormat="1" s="7">
      <c r="B88" s="7" t="n">
        <v>32</v>
      </c>
      <c r="C88" s="13" t="inlineStr">
        <is>
          <t>SYSTEM_FAIL</t>
        </is>
      </c>
      <c r="F88" s="14">
        <f>IF(MID(F$43,8,1)="1",1,"")</f>
        <v/>
      </c>
      <c r="G88" s="14">
        <f>IF(MID(G$43,8,1)="1",1,"")</f>
        <v/>
      </c>
      <c r="H88" s="14">
        <f>IF(MID(H$43,8,1)="1",1,"")</f>
        <v/>
      </c>
      <c r="I88" s="14">
        <f>IF(MID(I$43,8,1)="1",1,"")</f>
        <v/>
      </c>
      <c r="J88" s="14">
        <f>IF(MID(J$43,8,1)="1",1,"")</f>
        <v/>
      </c>
      <c r="K88" s="14">
        <f>IF(MID(K$43,8,1)="1",1,"")</f>
        <v/>
      </c>
      <c r="L88" s="14">
        <f>IF(MID(L$43,8,1)="1",1,"")</f>
        <v/>
      </c>
      <c r="M88" s="14">
        <f>IF(MID(M$43,8,1)="1",1,"")</f>
        <v/>
      </c>
      <c r="N88" s="14">
        <f>IF(MID(N$43,8,1)="1",1,"")</f>
        <v/>
      </c>
      <c r="O88" s="14">
        <f>IF(MID(O$43,8,1)="1",1,"")</f>
        <v/>
      </c>
      <c r="P88" s="14">
        <f>IF(MID(P$43,8,1)="1",1,"")</f>
        <v/>
      </c>
      <c r="Q88" s="14">
        <f>IF(MID(Q$43,8,1)="1",1,"")</f>
        <v/>
      </c>
      <c r="R88" s="14">
        <f>IF(MID(R$43,8,1)="1",1,"")</f>
        <v/>
      </c>
      <c r="S88" s="14">
        <f>IF(MID(S$43,8,1)="1",1,"")</f>
        <v/>
      </c>
      <c r="T88" s="14">
        <f>IF(MID(T$43,8,1)="1",1,"")</f>
        <v/>
      </c>
      <c r="U88" s="14">
        <f>IF(MID(U$43,8,1)="1",1,"")</f>
        <v/>
      </c>
      <c r="V88" s="14">
        <f>IF(MID(V$43,8,1)="1",1,"")</f>
        <v/>
      </c>
      <c r="W88" s="14">
        <f>IF(MID(W$43,8,1)="1",1,"")</f>
        <v/>
      </c>
      <c r="X88" s="14">
        <f>IF(MID(X$43,8,1)="1",1,"")</f>
        <v/>
      </c>
      <c r="Y88" s="14">
        <f>IF(MID(Y$43,8,1)="1",1,"")</f>
        <v/>
      </c>
      <c r="Z88" s="14">
        <f>IF(MID(Z$43,8,1)="1",1,"")</f>
        <v/>
      </c>
      <c r="AA88" s="14">
        <f>IF(MID(AA$43,8,1)="1",1,"")</f>
        <v/>
      </c>
      <c r="AB88" s="14">
        <f>IF(MID(AB$43,8,1)="1",1,"")</f>
        <v/>
      </c>
      <c r="AC88" s="14">
        <f>IF(MID(AC$43,8,1)="1",1,"")</f>
        <v/>
      </c>
      <c r="AD88" s="14">
        <f>IF(MID(AD$43,8,1)="1",1,"")</f>
        <v/>
      </c>
      <c r="AE88" s="14">
        <f>IF(MID(AE$43,8,1)="1",1,"")</f>
        <v/>
      </c>
      <c r="AF88" s="14">
        <f>IF(MID(AF$43,8,1)="1",1,"")</f>
        <v/>
      </c>
      <c r="AG88" s="14">
        <f>IF(MID(AG$43,8,1)="1",1,"")</f>
        <v/>
      </c>
      <c r="AH88" s="14">
        <f>IF(MID(AH$43,8,1)="1",1,"")</f>
        <v/>
      </c>
      <c r="AI88" s="14">
        <f>IF(MID(AI$43,8,1)="1",1,"")</f>
        <v/>
      </c>
      <c r="AJ88" s="14">
        <f>IF(MID(AJ$43,8,1)="1",1,"")</f>
        <v/>
      </c>
      <c r="AK88" s="14">
        <f>IF(MID(AK$43,8,1)="1",1,"")</f>
        <v/>
      </c>
    </row>
    <row r="89">
      <c r="B89" t="n">
        <v>33</v>
      </c>
      <c r="C89" s="15" t="inlineStr">
        <is>
          <t>OFV_BETA_FAIL</t>
        </is>
      </c>
      <c r="F89" s="9">
        <f>IF(MID(F$43,7,1)="1",1,"")</f>
        <v/>
      </c>
      <c r="G89" s="9">
        <f>IF(MID(G$43,7,1)="1",1,"")</f>
        <v/>
      </c>
      <c r="H89" s="9">
        <f>IF(MID(H$43,7,1)="1",1,"")</f>
        <v/>
      </c>
      <c r="I89" s="9">
        <f>IF(MID(I$43,7,1)="1",1,"")</f>
        <v/>
      </c>
      <c r="J89" s="9">
        <f>IF(MID(J$43,7,1)="1",1,"")</f>
        <v/>
      </c>
      <c r="K89" s="9">
        <f>IF(MID(K$43,7,1)="1",1,"")</f>
        <v/>
      </c>
      <c r="L89" s="9">
        <f>IF(MID(L$43,7,1)="1",1,"")</f>
        <v/>
      </c>
      <c r="M89" s="9">
        <f>IF(MID(M$43,7,1)="1",1,"")</f>
        <v/>
      </c>
      <c r="N89" s="9">
        <f>IF(MID(N$43,7,1)="1",1,"")</f>
        <v/>
      </c>
      <c r="O89" s="9">
        <f>IF(MID(O$43,7,1)="1",1,"")</f>
        <v/>
      </c>
      <c r="P89" s="9">
        <f>IF(MID(P$43,7,1)="1",1,"")</f>
        <v/>
      </c>
      <c r="Q89" s="9">
        <f>IF(MID(Q$43,7,1)="1",1,"")</f>
        <v/>
      </c>
      <c r="R89" s="9">
        <f>IF(MID(R$43,7,1)="1",1,"")</f>
        <v/>
      </c>
      <c r="S89" s="9">
        <f>IF(MID(S$43,7,1)="1",1,"")</f>
        <v/>
      </c>
      <c r="T89" s="9">
        <f>IF(MID(T$43,7,1)="1",1,"")</f>
        <v/>
      </c>
      <c r="U89" s="9">
        <f>IF(MID(U$43,7,1)="1",1,"")</f>
        <v/>
      </c>
      <c r="V89" s="9">
        <f>IF(MID(V$43,7,1)="1",1,"")</f>
        <v/>
      </c>
      <c r="W89" s="9">
        <f>IF(MID(W$43,7,1)="1",1,"")</f>
        <v/>
      </c>
      <c r="X89" s="9">
        <f>IF(MID(X$43,7,1)="1",1,"")</f>
        <v/>
      </c>
      <c r="Y89" s="9">
        <f>IF(MID(Y$43,7,1)="1",1,"")</f>
        <v/>
      </c>
      <c r="Z89" s="9">
        <f>IF(MID(Z$43,7,1)="1",1,"")</f>
        <v/>
      </c>
      <c r="AA89" s="9">
        <f>IF(MID(AA$43,7,1)="1",1,"")</f>
        <v/>
      </c>
      <c r="AB89" s="9">
        <f>IF(MID(AB$43,7,1)="1",1,"")</f>
        <v/>
      </c>
      <c r="AC89" s="9">
        <f>IF(MID(AC$43,7,1)="1",1,"")</f>
        <v/>
      </c>
      <c r="AD89" s="9">
        <f>IF(MID(AD$43,7,1)="1",1,"")</f>
        <v/>
      </c>
      <c r="AE89" s="9">
        <f>IF(MID(AE$43,7,1)="1",1,"")</f>
        <v/>
      </c>
      <c r="AF89" s="9">
        <f>IF(MID(AF$43,7,1)="1",1,"")</f>
        <v/>
      </c>
      <c r="AG89" s="9">
        <f>IF(MID(AG$43,7,1)="1",1,"")</f>
        <v/>
      </c>
      <c r="AH89" s="9">
        <f>IF(MID(AH$43,7,1)="1",1,"")</f>
        <v/>
      </c>
      <c r="AI89" s="9">
        <f>IF(MID(AI$43,7,1)="1",1,"")</f>
        <v/>
      </c>
      <c r="AJ89" s="9">
        <f>IF(MID(AJ$43,7,1)="1",1,"")</f>
        <v/>
      </c>
      <c r="AK89" s="9">
        <f>IF(MID(AK$43,7,1)="1",1,"")</f>
        <v/>
      </c>
    </row>
    <row r="90" customFormat="1" s="7">
      <c r="B90" s="7" t="n">
        <v>34</v>
      </c>
      <c r="C90" s="13" t="inlineStr">
        <is>
          <t>HIGH_CABIN_RATE_FAIL</t>
        </is>
      </c>
      <c r="F90" s="14">
        <f>IF(MID(F$43,6,1)="1",1,"")</f>
        <v/>
      </c>
      <c r="G90" s="14">
        <f>IF(MID(G$43,6,1)="1",1,"")</f>
        <v/>
      </c>
      <c r="H90" s="14">
        <f>IF(MID(H$43,6,1)="1",1,"")</f>
        <v/>
      </c>
      <c r="I90" s="14">
        <f>IF(MID(I$43,6,1)="1",1,"")</f>
        <v/>
      </c>
      <c r="J90" s="14">
        <f>IF(MID(J$43,6,1)="1",1,"")</f>
        <v/>
      </c>
      <c r="K90" s="14">
        <f>IF(MID(K$43,6,1)="1",1,"")</f>
        <v/>
      </c>
      <c r="L90" s="14">
        <f>IF(MID(L$43,6,1)="1",1,"")</f>
        <v/>
      </c>
      <c r="M90" s="14">
        <f>IF(MID(M$43,6,1)="1",1,"")</f>
        <v/>
      </c>
      <c r="N90" s="14">
        <f>IF(MID(N$43,6,1)="1",1,"")</f>
        <v/>
      </c>
      <c r="O90" s="14">
        <f>IF(MID(O$43,6,1)="1",1,"")</f>
        <v/>
      </c>
      <c r="P90" s="14">
        <f>IF(MID(P$43,6,1)="1",1,"")</f>
        <v/>
      </c>
      <c r="Q90" s="14">
        <f>IF(MID(Q$43,6,1)="1",1,"")</f>
        <v/>
      </c>
      <c r="R90" s="14">
        <f>IF(MID(R$43,6,1)="1",1,"")</f>
        <v/>
      </c>
      <c r="S90" s="14">
        <f>IF(MID(S$43,6,1)="1",1,"")</f>
        <v/>
      </c>
      <c r="T90" s="14">
        <f>IF(MID(T$43,6,1)="1",1,"")</f>
        <v/>
      </c>
      <c r="U90" s="14">
        <f>IF(MID(U$43,6,1)="1",1,"")</f>
        <v/>
      </c>
      <c r="V90" s="14">
        <f>IF(MID(V$43,6,1)="1",1,"")</f>
        <v/>
      </c>
      <c r="W90" s="14">
        <f>IF(MID(W$43,6,1)="1",1,"")</f>
        <v/>
      </c>
      <c r="X90" s="14">
        <f>IF(MID(X$43,6,1)="1",1,"")</f>
        <v/>
      </c>
      <c r="Y90" s="14">
        <f>IF(MID(Y$43,6,1)="1",1,"")</f>
        <v/>
      </c>
      <c r="Z90" s="14">
        <f>IF(MID(Z$43,6,1)="1",1,"")</f>
        <v/>
      </c>
      <c r="AA90" s="14">
        <f>IF(MID(AA$43,6,1)="1",1,"")</f>
        <v/>
      </c>
      <c r="AB90" s="14">
        <f>IF(MID(AB$43,6,1)="1",1,"")</f>
        <v/>
      </c>
      <c r="AC90" s="14">
        <f>IF(MID(AC$43,6,1)="1",1,"")</f>
        <v/>
      </c>
      <c r="AD90" s="14">
        <f>IF(MID(AD$43,6,1)="1",1,"")</f>
        <v/>
      </c>
      <c r="AE90" s="14">
        <f>IF(MID(AE$43,6,1)="1",1,"")</f>
        <v/>
      </c>
      <c r="AF90" s="14">
        <f>IF(MID(AF$43,6,1)="1",1,"")</f>
        <v/>
      </c>
      <c r="AG90" s="14">
        <f>IF(MID(AG$43,6,1)="1",1,"")</f>
        <v/>
      </c>
      <c r="AH90" s="14">
        <f>IF(MID(AH$43,6,1)="1",1,"")</f>
        <v/>
      </c>
      <c r="AI90" s="14">
        <f>IF(MID(AI$43,6,1)="1",1,"")</f>
        <v/>
      </c>
      <c r="AJ90" s="14">
        <f>IF(MID(AJ$43,6,1)="1",1,"")</f>
        <v/>
      </c>
      <c r="AK90" s="14">
        <f>IF(MID(AK$43,6,1)="1",1,"")</f>
        <v/>
      </c>
    </row>
    <row r="91">
      <c r="B91" t="n">
        <v>35</v>
      </c>
      <c r="C91" s="15" t="inlineStr">
        <is>
          <t>LGCIU_SIGNAL_REPLACED</t>
        </is>
      </c>
      <c r="F91" s="9">
        <f>IF(MID(F$43,5,1)="1",1,"")</f>
        <v/>
      </c>
      <c r="G91" s="9">
        <f>IF(MID(G$43,5,1)="1",1,"")</f>
        <v/>
      </c>
      <c r="H91" s="9">
        <f>IF(MID(H$43,5,1)="1",1,"")</f>
        <v/>
      </c>
      <c r="I91" s="9">
        <f>IF(MID(I$43,5,1)="1",1,"")</f>
        <v/>
      </c>
      <c r="J91" s="9">
        <f>IF(MID(J$43,5,1)="1",1,"")</f>
        <v/>
      </c>
      <c r="K91" s="9">
        <f>IF(MID(K$43,5,1)="1",1,"")</f>
        <v/>
      </c>
      <c r="L91" s="9">
        <f>IF(MID(L$43,5,1)="1",1,"")</f>
        <v/>
      </c>
      <c r="M91" s="9">
        <f>IF(MID(M$43,5,1)="1",1,"")</f>
        <v/>
      </c>
      <c r="N91" s="9">
        <f>IF(MID(N$43,5,1)="1",1,"")</f>
        <v/>
      </c>
      <c r="O91" s="9">
        <f>IF(MID(O$43,5,1)="1",1,"")</f>
        <v/>
      </c>
      <c r="P91" s="9">
        <f>IF(MID(P$43,5,1)="1",1,"")</f>
        <v/>
      </c>
      <c r="Q91" s="9">
        <f>IF(MID(Q$43,5,1)="1",1,"")</f>
        <v/>
      </c>
      <c r="R91" s="9">
        <f>IF(MID(R$43,5,1)="1",1,"")</f>
        <v/>
      </c>
      <c r="S91" s="9">
        <f>IF(MID(S$43,5,1)="1",1,"")</f>
        <v/>
      </c>
      <c r="T91" s="9">
        <f>IF(MID(T$43,5,1)="1",1,"")</f>
        <v/>
      </c>
      <c r="U91" s="9">
        <f>IF(MID(U$43,5,1)="1",1,"")</f>
        <v/>
      </c>
      <c r="V91" s="9">
        <f>IF(MID(V$43,5,1)="1",1,"")</f>
        <v/>
      </c>
      <c r="W91" s="9">
        <f>IF(MID(W$43,5,1)="1",1,"")</f>
        <v/>
      </c>
      <c r="X91" s="9">
        <f>IF(MID(X$43,5,1)="1",1,"")</f>
        <v/>
      </c>
      <c r="Y91" s="9">
        <f>IF(MID(Y$43,5,1)="1",1,"")</f>
        <v/>
      </c>
      <c r="Z91" s="9">
        <f>IF(MID(Z$43,5,1)="1",1,"")</f>
        <v/>
      </c>
      <c r="AA91" s="9">
        <f>IF(MID(AA$43,5,1)="1",1,"")</f>
        <v/>
      </c>
      <c r="AB91" s="9">
        <f>IF(MID(AB$43,5,1)="1",1,"")</f>
        <v/>
      </c>
      <c r="AC91" s="9">
        <f>IF(MID(AC$43,5,1)="1",1,"")</f>
        <v/>
      </c>
      <c r="AD91" s="9">
        <f>IF(MID(AD$43,5,1)="1",1,"")</f>
        <v/>
      </c>
      <c r="AE91" s="9">
        <f>IF(MID(AE$43,5,1)="1",1,"")</f>
        <v/>
      </c>
      <c r="AF91" s="9">
        <f>IF(MID(AF$43,5,1)="1",1,"")</f>
        <v/>
      </c>
      <c r="AG91" s="9">
        <f>IF(MID(AG$43,5,1)="1",1,"")</f>
        <v/>
      </c>
      <c r="AH91" s="9">
        <f>IF(MID(AH$43,5,1)="1",1,"")</f>
        <v/>
      </c>
      <c r="AI91" s="9">
        <f>IF(MID(AI$43,5,1)="1",1,"")</f>
        <v/>
      </c>
      <c r="AJ91" s="9">
        <f>IF(MID(AJ$43,5,1)="1",1,"")</f>
        <v/>
      </c>
      <c r="AK91" s="9">
        <f>IF(MID(AK$43,5,1)="1",1,"")</f>
        <v/>
      </c>
    </row>
    <row r="92" customFormat="1" s="7">
      <c r="B92" s="7" t="n">
        <v>36</v>
      </c>
      <c r="C92" s="13" t="inlineStr">
        <is>
          <t>+15V_POWER_FAIL</t>
        </is>
      </c>
      <c r="F92" s="14">
        <f>IF(MID(F$43,4,1)="1",1,"")</f>
        <v/>
      </c>
      <c r="G92" s="14">
        <f>IF(MID(G$43,4,1)="1",1,"")</f>
        <v/>
      </c>
      <c r="H92" s="14">
        <f>IF(MID(H$43,4,1)="1",1,"")</f>
        <v/>
      </c>
      <c r="I92" s="14">
        <f>IF(MID(I$43,4,1)="1",1,"")</f>
        <v/>
      </c>
      <c r="J92" s="14">
        <f>IF(MID(J$43,4,1)="1",1,"")</f>
        <v/>
      </c>
      <c r="K92" s="14">
        <f>IF(MID(K$43,4,1)="1",1,"")</f>
        <v/>
      </c>
      <c r="L92" s="14">
        <f>IF(MID(L$43,4,1)="1",1,"")</f>
        <v/>
      </c>
      <c r="M92" s="14">
        <f>IF(MID(M$43,4,1)="1",1,"")</f>
        <v/>
      </c>
      <c r="N92" s="14">
        <f>IF(MID(N$43,4,1)="1",1,"")</f>
        <v/>
      </c>
      <c r="O92" s="14">
        <f>IF(MID(O$43,4,1)="1",1,"")</f>
        <v/>
      </c>
      <c r="P92" s="14">
        <f>IF(MID(P$43,4,1)="1",1,"")</f>
        <v/>
      </c>
      <c r="Q92" s="14">
        <f>IF(MID(Q$43,4,1)="1",1,"")</f>
        <v/>
      </c>
      <c r="R92" s="14">
        <f>IF(MID(R$43,4,1)="1",1,"")</f>
        <v/>
      </c>
      <c r="S92" s="14">
        <f>IF(MID(S$43,4,1)="1",1,"")</f>
        <v/>
      </c>
      <c r="T92" s="14">
        <f>IF(MID(T$43,4,1)="1",1,"")</f>
        <v/>
      </c>
      <c r="U92" s="14">
        <f>IF(MID(U$43,4,1)="1",1,"")</f>
        <v/>
      </c>
      <c r="V92" s="14">
        <f>IF(MID(V$43,4,1)="1",1,"")</f>
        <v/>
      </c>
      <c r="W92" s="14">
        <f>IF(MID(W$43,4,1)="1",1,"")</f>
        <v/>
      </c>
      <c r="X92" s="14">
        <f>IF(MID(X$43,4,1)="1",1,"")</f>
        <v/>
      </c>
      <c r="Y92" s="14">
        <f>IF(MID(Y$43,4,1)="1",1,"")</f>
        <v/>
      </c>
      <c r="Z92" s="14">
        <f>IF(MID(Z$43,4,1)="1",1,"")</f>
        <v/>
      </c>
      <c r="AA92" s="14">
        <f>IF(MID(AA$43,4,1)="1",1,"")</f>
        <v/>
      </c>
      <c r="AB92" s="14">
        <f>IF(MID(AB$43,4,1)="1",1,"")</f>
        <v/>
      </c>
      <c r="AC92" s="14">
        <f>IF(MID(AC$43,4,1)="1",1,"")</f>
        <v/>
      </c>
      <c r="AD92" s="14">
        <f>IF(MID(AD$43,4,1)="1",1,"")</f>
        <v/>
      </c>
      <c r="AE92" s="14">
        <f>IF(MID(AE$43,4,1)="1",1,"")</f>
        <v/>
      </c>
      <c r="AF92" s="14">
        <f>IF(MID(AF$43,4,1)="1",1,"")</f>
        <v/>
      </c>
      <c r="AG92" s="14">
        <f>IF(MID(AG$43,4,1)="1",1,"")</f>
        <v/>
      </c>
      <c r="AH92" s="14">
        <f>IF(MID(AH$43,4,1)="1",1,"")</f>
        <v/>
      </c>
      <c r="AI92" s="14">
        <f>IF(MID(AI$43,4,1)="1",1,"")</f>
        <v/>
      </c>
      <c r="AJ92" s="14">
        <f>IF(MID(AJ$43,4,1)="1",1,"")</f>
        <v/>
      </c>
      <c r="AK92" s="14">
        <f>IF(MID(AK$43,4,1)="1",1,"")</f>
        <v/>
      </c>
    </row>
    <row r="93">
      <c r="B93" t="n">
        <v>37</v>
      </c>
      <c r="C93" s="15" t="inlineStr">
        <is>
          <t>-15V_POWER_FAIL</t>
        </is>
      </c>
      <c r="F93" s="9">
        <f>IF(MID(F$43,3,1)="1",1,"")</f>
        <v/>
      </c>
      <c r="G93" s="9">
        <f>IF(MID(G$43,3,1)="1",1,"")</f>
        <v/>
      </c>
      <c r="H93" s="9">
        <f>IF(MID(H$43,3,1)="1",1,"")</f>
        <v/>
      </c>
      <c r="I93" s="9">
        <f>IF(MID(I$43,3,1)="1",1,"")</f>
        <v/>
      </c>
      <c r="J93" s="9">
        <f>IF(MID(J$43,3,1)="1",1,"")</f>
        <v/>
      </c>
      <c r="K93" s="9">
        <f>IF(MID(K$43,3,1)="1",1,"")</f>
        <v/>
      </c>
      <c r="L93" s="9">
        <f>IF(MID(L$43,3,1)="1",1,"")</f>
        <v/>
      </c>
      <c r="M93" s="9">
        <f>IF(MID(M$43,3,1)="1",1,"")</f>
        <v/>
      </c>
      <c r="N93" s="9">
        <f>IF(MID(N$43,3,1)="1",1,"")</f>
        <v/>
      </c>
      <c r="O93" s="9">
        <f>IF(MID(O$43,3,1)="1",1,"")</f>
        <v/>
      </c>
      <c r="P93" s="9">
        <f>IF(MID(P$43,3,1)="1",1,"")</f>
        <v/>
      </c>
      <c r="Q93" s="9">
        <f>IF(MID(Q$43,3,1)="1",1,"")</f>
        <v/>
      </c>
      <c r="R93" s="9">
        <f>IF(MID(R$43,3,1)="1",1,"")</f>
        <v/>
      </c>
      <c r="S93" s="9">
        <f>IF(MID(S$43,3,1)="1",1,"")</f>
        <v/>
      </c>
      <c r="T93" s="9">
        <f>IF(MID(T$43,3,1)="1",1,"")</f>
        <v/>
      </c>
      <c r="U93" s="9">
        <f>IF(MID(U$43,3,1)="1",1,"")</f>
        <v/>
      </c>
      <c r="V93" s="9">
        <f>IF(MID(V$43,3,1)="1",1,"")</f>
        <v/>
      </c>
      <c r="W93" s="9">
        <f>IF(MID(W$43,3,1)="1",1,"")</f>
        <v/>
      </c>
      <c r="X93" s="9">
        <f>IF(MID(X$43,3,1)="1",1,"")</f>
        <v/>
      </c>
      <c r="Y93" s="9">
        <f>IF(MID(Y$43,3,1)="1",1,"")</f>
        <v/>
      </c>
      <c r="Z93" s="9">
        <f>IF(MID(Z$43,3,1)="1",1,"")</f>
        <v/>
      </c>
      <c r="AA93" s="9">
        <f>IF(MID(AA$43,3,1)="1",1,"")</f>
        <v/>
      </c>
      <c r="AB93" s="9">
        <f>IF(MID(AB$43,3,1)="1",1,"")</f>
        <v/>
      </c>
      <c r="AC93" s="9">
        <f>IF(MID(AC$43,3,1)="1",1,"")</f>
        <v/>
      </c>
      <c r="AD93" s="9">
        <f>IF(MID(AD$43,3,1)="1",1,"")</f>
        <v/>
      </c>
      <c r="AE93" s="9">
        <f>IF(MID(AE$43,3,1)="1",1,"")</f>
        <v/>
      </c>
      <c r="AF93" s="9">
        <f>IF(MID(AF$43,3,1)="1",1,"")</f>
        <v/>
      </c>
      <c r="AG93" s="9">
        <f>IF(MID(AG$43,3,1)="1",1,"")</f>
        <v/>
      </c>
      <c r="AH93" s="9">
        <f>IF(MID(AH$43,3,1)="1",1,"")</f>
        <v/>
      </c>
      <c r="AI93" s="9">
        <f>IF(MID(AI$43,3,1)="1",1,"")</f>
        <v/>
      </c>
      <c r="AJ93" s="9">
        <f>IF(MID(AJ$43,3,1)="1",1,"")</f>
        <v/>
      </c>
      <c r="AK93" s="9">
        <f>IF(MID(AK$43,3,1)="1",1,"")</f>
        <v/>
      </c>
    </row>
    <row r="94" customFormat="1" s="7">
      <c r="B94" s="7" t="n">
        <v>38</v>
      </c>
      <c r="C94" s="13" t="inlineStr">
        <is>
          <t>AD_CONVERTER_FAIL</t>
        </is>
      </c>
      <c r="F94" s="14">
        <f>IF(MID(F$43,2,1)="1",1,"")</f>
        <v/>
      </c>
      <c r="G94" s="14">
        <f>IF(MID(G$43,2,1)="1",1,"")</f>
        <v/>
      </c>
      <c r="H94" s="14">
        <f>IF(MID(H$43,2,1)="1",1,"")</f>
        <v/>
      </c>
      <c r="I94" s="14">
        <f>IF(MID(I$43,2,1)="1",1,"")</f>
        <v/>
      </c>
      <c r="J94" s="14">
        <f>IF(MID(J$43,2,1)="1",1,"")</f>
        <v/>
      </c>
      <c r="K94" s="14">
        <f>IF(MID(K$43,2,1)="1",1,"")</f>
        <v/>
      </c>
      <c r="L94" s="14">
        <f>IF(MID(L$43,2,1)="1",1,"")</f>
        <v/>
      </c>
      <c r="M94" s="14">
        <f>IF(MID(M$43,2,1)="1",1,"")</f>
        <v/>
      </c>
      <c r="N94" s="14">
        <f>IF(MID(N$43,2,1)="1",1,"")</f>
        <v/>
      </c>
      <c r="O94" s="14">
        <f>IF(MID(O$43,2,1)="1",1,"")</f>
        <v/>
      </c>
      <c r="P94" s="14">
        <f>IF(MID(P$43,2,1)="1",1,"")</f>
        <v/>
      </c>
      <c r="Q94" s="14">
        <f>IF(MID(Q$43,2,1)="1",1,"")</f>
        <v/>
      </c>
      <c r="R94" s="14">
        <f>IF(MID(R$43,2,1)="1",1,"")</f>
        <v/>
      </c>
      <c r="S94" s="14">
        <f>IF(MID(S$43,2,1)="1",1,"")</f>
        <v/>
      </c>
      <c r="T94" s="14">
        <f>IF(MID(T$43,2,1)="1",1,"")</f>
        <v/>
      </c>
      <c r="U94" s="14">
        <f>IF(MID(U$43,2,1)="1",1,"")</f>
        <v/>
      </c>
      <c r="V94" s="14">
        <f>IF(MID(V$43,2,1)="1",1,"")</f>
        <v/>
      </c>
      <c r="W94" s="14">
        <f>IF(MID(W$43,2,1)="1",1,"")</f>
        <v/>
      </c>
      <c r="X94" s="14">
        <f>IF(MID(X$43,2,1)="1",1,"")</f>
        <v/>
      </c>
      <c r="Y94" s="14">
        <f>IF(MID(Y$43,2,1)="1",1,"")</f>
        <v/>
      </c>
      <c r="Z94" s="14">
        <f>IF(MID(Z$43,2,1)="1",1,"")</f>
        <v/>
      </c>
      <c r="AA94" s="14">
        <f>IF(MID(AA$43,2,1)="1",1,"")</f>
        <v/>
      </c>
      <c r="AB94" s="14">
        <f>IF(MID(AB$43,2,1)="1",1,"")</f>
        <v/>
      </c>
      <c r="AC94" s="14">
        <f>IF(MID(AC$43,2,1)="1",1,"")</f>
        <v/>
      </c>
      <c r="AD94" s="14">
        <f>IF(MID(AD$43,2,1)="1",1,"")</f>
        <v/>
      </c>
      <c r="AE94" s="14">
        <f>IF(MID(AE$43,2,1)="1",1,"")</f>
        <v/>
      </c>
      <c r="AF94" s="14">
        <f>IF(MID(AF$43,2,1)="1",1,"")</f>
        <v/>
      </c>
      <c r="AG94" s="14">
        <f>IF(MID(AG$43,2,1)="1",1,"")</f>
        <v/>
      </c>
      <c r="AH94" s="14">
        <f>IF(MID(AH$43,2,1)="1",1,"")</f>
        <v/>
      </c>
      <c r="AI94" s="14">
        <f>IF(MID(AI$43,2,1)="1",1,"")</f>
        <v/>
      </c>
      <c r="AJ94" s="14">
        <f>IF(MID(AJ$43,2,1)="1",1,"")</f>
        <v/>
      </c>
      <c r="AK94" s="14">
        <f>IF(MID(AK$43,2,1)="1",1,"")</f>
        <v/>
      </c>
    </row>
    <row r="95">
      <c r="B95" t="n">
        <v>39</v>
      </c>
      <c r="C95" s="15" t="inlineStr">
        <is>
          <t>CFDS_WR_FAIL</t>
        </is>
      </c>
      <c r="F95" s="9">
        <f>IF(MID(F$43,1,1)="1",1,"")</f>
        <v/>
      </c>
      <c r="G95" s="9">
        <f>IF(MID(G$43,1,1)="1",1,"")</f>
        <v/>
      </c>
      <c r="H95" s="9">
        <f>IF(MID(H$43,1,1)="1",1,"")</f>
        <v/>
      </c>
      <c r="I95" s="9">
        <f>IF(MID(I$43,1,1)="1",1,"")</f>
        <v/>
      </c>
      <c r="J95" s="9">
        <f>IF(MID(J$43,1,1)="1",1,"")</f>
        <v/>
      </c>
      <c r="K95" s="9">
        <f>IF(MID(K$43,1,1)="1",1,"")</f>
        <v/>
      </c>
      <c r="L95" s="9">
        <f>IF(MID(L$43,1,1)="1",1,"")</f>
        <v/>
      </c>
      <c r="M95" s="9">
        <f>IF(MID(M$43,1,1)="1",1,"")</f>
        <v/>
      </c>
      <c r="N95" s="9">
        <f>IF(MID(N$43,1,1)="1",1,"")</f>
        <v/>
      </c>
      <c r="O95" s="9">
        <f>IF(MID(O$43,1,1)="1",1,"")</f>
        <v/>
      </c>
      <c r="P95" s="9">
        <f>IF(MID(P$43,1,1)="1",1,"")</f>
        <v/>
      </c>
      <c r="Q95" s="9">
        <f>IF(MID(Q$43,1,1)="1",1,"")</f>
        <v/>
      </c>
      <c r="R95" s="9">
        <f>IF(MID(R$43,1,1)="1",1,"")</f>
        <v/>
      </c>
      <c r="S95" s="9">
        <f>IF(MID(S$43,1,1)="1",1,"")</f>
        <v/>
      </c>
      <c r="T95" s="9">
        <f>IF(MID(T$43,1,1)="1",1,"")</f>
        <v/>
      </c>
      <c r="U95" s="9">
        <f>IF(MID(U$43,1,1)="1",1,"")</f>
        <v/>
      </c>
      <c r="V95" s="9">
        <f>IF(MID(V$43,1,1)="1",1,"")</f>
        <v/>
      </c>
      <c r="W95" s="9">
        <f>IF(MID(W$43,1,1)="1",1,"")</f>
        <v/>
      </c>
      <c r="X95" s="9">
        <f>IF(MID(X$43,1,1)="1",1,"")</f>
        <v/>
      </c>
      <c r="Y95" s="9">
        <f>IF(MID(Y$43,1,1)="1",1,"")</f>
        <v/>
      </c>
      <c r="Z95" s="9">
        <f>IF(MID(Z$43,1,1)="1",1,"")</f>
        <v/>
      </c>
      <c r="AA95" s="9">
        <f>IF(MID(AA$43,1,1)="1",1,"")</f>
        <v/>
      </c>
      <c r="AB95" s="9">
        <f>IF(MID(AB$43,1,1)="1",1,"")</f>
        <v/>
      </c>
      <c r="AC95" s="9">
        <f>IF(MID(AC$43,1,1)="1",1,"")</f>
        <v/>
      </c>
      <c r="AD95" s="9">
        <f>IF(MID(AD$43,1,1)="1",1,"")</f>
        <v/>
      </c>
      <c r="AE95" s="9">
        <f>IF(MID(AE$43,1,1)="1",1,"")</f>
        <v/>
      </c>
      <c r="AF95" s="9">
        <f>IF(MID(AF$43,1,1)="1",1,"")</f>
        <v/>
      </c>
      <c r="AG95" s="9">
        <f>IF(MID(AG$43,1,1)="1",1,"")</f>
        <v/>
      </c>
      <c r="AH95" s="9">
        <f>IF(MID(AH$43,1,1)="1",1,"")</f>
        <v/>
      </c>
      <c r="AI95" s="9">
        <f>IF(MID(AI$43,1,1)="1",1,"")</f>
        <v/>
      </c>
      <c r="AJ95" s="9">
        <f>IF(MID(AJ$43,1,1)="1",1,"")</f>
        <v/>
      </c>
      <c r="AK95" s="9">
        <f>IF(MID(AK$43,1,1)="1",1,"")</f>
        <v/>
      </c>
    </row>
    <row r="96" customFormat="1" s="7">
      <c r="B96" s="7" t="n">
        <v>40</v>
      </c>
      <c r="C96" s="13" t="inlineStr">
        <is>
          <t>PASS_SIGN_WR_FAIL</t>
        </is>
      </c>
      <c r="F96" s="14">
        <f>IF(MID(F$44,8,1)="1",1,"")</f>
        <v/>
      </c>
      <c r="G96" s="14">
        <f>IF(MID(G$44,8,1)="1",1,"")</f>
        <v/>
      </c>
      <c r="H96" s="14">
        <f>IF(MID(H$44,8,1)="1",1,"")</f>
        <v/>
      </c>
      <c r="I96" s="14">
        <f>IF(MID(I$44,8,1)="1",1,"")</f>
        <v/>
      </c>
      <c r="J96" s="14">
        <f>IF(MID(J$44,8,1)="1",1,"")</f>
        <v/>
      </c>
      <c r="K96" s="14">
        <f>IF(MID(K$44,8,1)="1",1,"")</f>
        <v/>
      </c>
      <c r="L96" s="14">
        <f>IF(MID(L$44,8,1)="1",1,"")</f>
        <v/>
      </c>
      <c r="M96" s="14">
        <f>IF(MID(M$44,8,1)="1",1,"")</f>
        <v/>
      </c>
      <c r="N96" s="14">
        <f>IF(MID(N$44,8,1)="1",1,"")</f>
        <v/>
      </c>
      <c r="O96" s="14">
        <f>IF(MID(O$44,8,1)="1",1,"")</f>
        <v/>
      </c>
      <c r="P96" s="14">
        <f>IF(MID(P$44,8,1)="1",1,"")</f>
        <v/>
      </c>
      <c r="Q96" s="14">
        <f>IF(MID(Q$44,8,1)="1",1,"")</f>
        <v/>
      </c>
      <c r="R96" s="14">
        <f>IF(MID(R$44,8,1)="1",1,"")</f>
        <v/>
      </c>
      <c r="S96" s="14">
        <f>IF(MID(S$44,8,1)="1",1,"")</f>
        <v/>
      </c>
      <c r="T96" s="14">
        <f>IF(MID(T$44,8,1)="1",1,"")</f>
        <v/>
      </c>
      <c r="U96" s="14">
        <f>IF(MID(U$44,8,1)="1",1,"")</f>
        <v/>
      </c>
      <c r="V96" s="14">
        <f>IF(MID(V$44,8,1)="1",1,"")</f>
        <v/>
      </c>
      <c r="W96" s="14">
        <f>IF(MID(W$44,8,1)="1",1,"")</f>
        <v/>
      </c>
      <c r="X96" s="14">
        <f>IF(MID(X$44,8,1)="1",1,"")</f>
        <v/>
      </c>
      <c r="Y96" s="14">
        <f>IF(MID(Y$44,8,1)="1",1,"")</f>
        <v/>
      </c>
      <c r="Z96" s="14">
        <f>IF(MID(Z$44,8,1)="1",1,"")</f>
        <v/>
      </c>
      <c r="AA96" s="14">
        <f>IF(MID(AA$44,8,1)="1",1,"")</f>
        <v/>
      </c>
      <c r="AB96" s="14">
        <f>IF(MID(AB$44,8,1)="1",1,"")</f>
        <v/>
      </c>
      <c r="AC96" s="14">
        <f>IF(MID(AC$44,8,1)="1",1,"")</f>
        <v/>
      </c>
      <c r="AD96" s="14">
        <f>IF(MID(AD$44,8,1)="1",1,"")</f>
        <v/>
      </c>
      <c r="AE96" s="14">
        <f>IF(MID(AE$44,8,1)="1",1,"")</f>
        <v/>
      </c>
      <c r="AF96" s="14">
        <f>IF(MID(AF$44,8,1)="1",1,"")</f>
        <v/>
      </c>
      <c r="AG96" s="14">
        <f>IF(MID(AG$44,8,1)="1",1,"")</f>
        <v/>
      </c>
      <c r="AH96" s="14">
        <f>IF(MID(AH$44,8,1)="1",1,"")</f>
        <v/>
      </c>
      <c r="AI96" s="14">
        <f>IF(MID(AI$44,8,1)="1",1,"")</f>
        <v/>
      </c>
      <c r="AJ96" s="14">
        <f>IF(MID(AJ$44,8,1)="1",1,"")</f>
        <v/>
      </c>
      <c r="AK96" s="14">
        <f>IF(MID(AK$44,8,1)="1",1,"")</f>
        <v/>
      </c>
    </row>
    <row r="97">
      <c r="B97" t="n">
        <v>41</v>
      </c>
      <c r="C97" s="15" t="inlineStr">
        <is>
          <t>FAULT_WARN_WR_FAIL</t>
        </is>
      </c>
      <c r="F97" s="9">
        <f>IF(MID(F$44,7,1)="1",1,"")</f>
        <v/>
      </c>
      <c r="G97" s="9">
        <f>IF(MID(G$44,7,1)="1",1,"")</f>
        <v/>
      </c>
      <c r="H97" s="9">
        <f>IF(MID(H$44,7,1)="1",1,"")</f>
        <v/>
      </c>
      <c r="I97" s="9">
        <f>IF(MID(I$44,7,1)="1",1,"")</f>
        <v/>
      </c>
      <c r="J97" s="9">
        <f>IF(MID(J$44,7,1)="1",1,"")</f>
        <v/>
      </c>
      <c r="K97" s="9">
        <f>IF(MID(K$44,7,1)="1",1,"")</f>
        <v/>
      </c>
      <c r="L97" s="9">
        <f>IF(MID(L$44,7,1)="1",1,"")</f>
        <v/>
      </c>
      <c r="M97" s="9">
        <f>IF(MID(M$44,7,1)="1",1,"")</f>
        <v/>
      </c>
      <c r="N97" s="9">
        <f>IF(MID(N$44,7,1)="1",1,"")</f>
        <v/>
      </c>
      <c r="O97" s="9">
        <f>IF(MID(O$44,7,1)="1",1,"")</f>
        <v/>
      </c>
      <c r="P97" s="9">
        <f>IF(MID(P$44,7,1)="1",1,"")</f>
        <v/>
      </c>
      <c r="Q97" s="9">
        <f>IF(MID(Q$44,7,1)="1",1,"")</f>
        <v/>
      </c>
      <c r="R97" s="9">
        <f>IF(MID(R$44,7,1)="1",1,"")</f>
        <v/>
      </c>
      <c r="S97" s="9">
        <f>IF(MID(S$44,7,1)="1",1,"")</f>
        <v/>
      </c>
      <c r="T97" s="9">
        <f>IF(MID(T$44,7,1)="1",1,"")</f>
        <v/>
      </c>
      <c r="U97" s="9">
        <f>IF(MID(U$44,7,1)="1",1,"")</f>
        <v/>
      </c>
      <c r="V97" s="9">
        <f>IF(MID(V$44,7,1)="1",1,"")</f>
        <v/>
      </c>
      <c r="W97" s="9">
        <f>IF(MID(W$44,7,1)="1",1,"")</f>
        <v/>
      </c>
      <c r="X97" s="9">
        <f>IF(MID(X$44,7,1)="1",1,"")</f>
        <v/>
      </c>
      <c r="Y97" s="9">
        <f>IF(MID(Y$44,7,1)="1",1,"")</f>
        <v/>
      </c>
      <c r="Z97" s="9">
        <f>IF(MID(Z$44,7,1)="1",1,"")</f>
        <v/>
      </c>
      <c r="AA97" s="9">
        <f>IF(MID(AA$44,7,1)="1",1,"")</f>
        <v/>
      </c>
      <c r="AB97" s="9">
        <f>IF(MID(AB$44,7,1)="1",1,"")</f>
        <v/>
      </c>
      <c r="AC97" s="9">
        <f>IF(MID(AC$44,7,1)="1",1,"")</f>
        <v/>
      </c>
      <c r="AD97" s="9">
        <f>IF(MID(AD$44,7,1)="1",1,"")</f>
        <v/>
      </c>
      <c r="AE97" s="9">
        <f>IF(MID(AE$44,7,1)="1",1,"")</f>
        <v/>
      </c>
      <c r="AF97" s="9">
        <f>IF(MID(AF$44,7,1)="1",1,"")</f>
        <v/>
      </c>
      <c r="AG97" s="9">
        <f>IF(MID(AG$44,7,1)="1",1,"")</f>
        <v/>
      </c>
      <c r="AH97" s="9">
        <f>IF(MID(AH$44,7,1)="1",1,"")</f>
        <v/>
      </c>
      <c r="AI97" s="9">
        <f>IF(MID(AI$44,7,1)="1",1,"")</f>
        <v/>
      </c>
      <c r="AJ97" s="9">
        <f>IF(MID(AJ$44,7,1)="1",1,"")</f>
        <v/>
      </c>
      <c r="AK97" s="9">
        <f>IF(MID(AK$44,7,1)="1",1,"")</f>
        <v/>
      </c>
    </row>
    <row r="98" customFormat="1" s="7">
      <c r="B98" s="7" t="n">
        <v>42</v>
      </c>
      <c r="C98" s="13" t="inlineStr">
        <is>
          <t>PC_CAL_ROM_FAIL</t>
        </is>
      </c>
      <c r="F98" s="14">
        <f>IF(MID(F$44,6,1)="1",1,"")</f>
        <v/>
      </c>
      <c r="G98" s="14">
        <f>IF(MID(G$44,6,1)="1",1,"")</f>
        <v/>
      </c>
      <c r="H98" s="14">
        <f>IF(MID(H$44,6,1)="1",1,"")</f>
        <v/>
      </c>
      <c r="I98" s="14">
        <f>IF(MID(I$44,6,1)="1",1,"")</f>
        <v/>
      </c>
      <c r="J98" s="14">
        <f>IF(MID(J$44,6,1)="1",1,"")</f>
        <v/>
      </c>
      <c r="K98" s="14">
        <f>IF(MID(K$44,6,1)="1",1,"")</f>
        <v/>
      </c>
      <c r="L98" s="14">
        <f>IF(MID(L$44,6,1)="1",1,"")</f>
        <v/>
      </c>
      <c r="M98" s="14">
        <f>IF(MID(M$44,6,1)="1",1,"")</f>
        <v/>
      </c>
      <c r="N98" s="14">
        <f>IF(MID(N$44,6,1)="1",1,"")</f>
        <v/>
      </c>
      <c r="O98" s="14">
        <f>IF(MID(O$44,6,1)="1",1,"")</f>
        <v/>
      </c>
      <c r="P98" s="14">
        <f>IF(MID(P$44,6,1)="1",1,"")</f>
        <v/>
      </c>
      <c r="Q98" s="14">
        <f>IF(MID(Q$44,6,1)="1",1,"")</f>
        <v/>
      </c>
      <c r="R98" s="14">
        <f>IF(MID(R$44,6,1)="1",1,"")</f>
        <v/>
      </c>
      <c r="S98" s="14">
        <f>IF(MID(S$44,6,1)="1",1,"")</f>
        <v/>
      </c>
      <c r="T98" s="14">
        <f>IF(MID(T$44,6,1)="1",1,"")</f>
        <v/>
      </c>
      <c r="U98" s="14">
        <f>IF(MID(U$44,6,1)="1",1,"")</f>
        <v/>
      </c>
      <c r="V98" s="14">
        <f>IF(MID(V$44,6,1)="1",1,"")</f>
        <v/>
      </c>
      <c r="W98" s="14">
        <f>IF(MID(W$44,6,1)="1",1,"")</f>
        <v/>
      </c>
      <c r="X98" s="14">
        <f>IF(MID(X$44,6,1)="1",1,"")</f>
        <v/>
      </c>
      <c r="Y98" s="14">
        <f>IF(MID(Y$44,6,1)="1",1,"")</f>
        <v/>
      </c>
      <c r="Z98" s="14">
        <f>IF(MID(Z$44,6,1)="1",1,"")</f>
        <v/>
      </c>
      <c r="AA98" s="14">
        <f>IF(MID(AA$44,6,1)="1",1,"")</f>
        <v/>
      </c>
      <c r="AB98" s="14">
        <f>IF(MID(AB$44,6,1)="1",1,"")</f>
        <v/>
      </c>
      <c r="AC98" s="14">
        <f>IF(MID(AC$44,6,1)="1",1,"")</f>
        <v/>
      </c>
      <c r="AD98" s="14">
        <f>IF(MID(AD$44,6,1)="1",1,"")</f>
        <v/>
      </c>
      <c r="AE98" s="14">
        <f>IF(MID(AE$44,6,1)="1",1,"")</f>
        <v/>
      </c>
      <c r="AF98" s="14">
        <f>IF(MID(AF$44,6,1)="1",1,"")</f>
        <v/>
      </c>
      <c r="AG98" s="14">
        <f>IF(MID(AG$44,6,1)="1",1,"")</f>
        <v/>
      </c>
      <c r="AH98" s="14">
        <f>IF(MID(AH$44,6,1)="1",1,"")</f>
        <v/>
      </c>
      <c r="AI98" s="14">
        <f>IF(MID(AI$44,6,1)="1",1,"")</f>
        <v/>
      </c>
      <c r="AJ98" s="14">
        <f>IF(MID(AJ$44,6,1)="1",1,"")</f>
        <v/>
      </c>
      <c r="AK98" s="14">
        <f>IF(MID(AK$44,6,1)="1",1,"")</f>
        <v/>
      </c>
    </row>
    <row r="99">
      <c r="B99" t="n">
        <v>43</v>
      </c>
      <c r="C99" s="15" t="inlineStr">
        <is>
          <t>NVM_FAIL</t>
        </is>
      </c>
      <c r="F99" s="9">
        <f>IF(MID(F$44,5,1)="1",1,"")</f>
        <v/>
      </c>
      <c r="G99" s="9">
        <f>IF(MID(G$44,5,1)="1",1,"")</f>
        <v/>
      </c>
      <c r="H99" s="9">
        <f>IF(MID(H$44,5,1)="1",1,"")</f>
        <v/>
      </c>
      <c r="I99" s="9">
        <f>IF(MID(I$44,5,1)="1",1,"")</f>
        <v/>
      </c>
      <c r="J99" s="9">
        <f>IF(MID(J$44,5,1)="1",1,"")</f>
        <v/>
      </c>
      <c r="K99" s="9">
        <f>IF(MID(K$44,5,1)="1",1,"")</f>
        <v/>
      </c>
      <c r="L99" s="9">
        <f>IF(MID(L$44,5,1)="1",1,"")</f>
        <v/>
      </c>
      <c r="M99" s="9">
        <f>IF(MID(M$44,5,1)="1",1,"")</f>
        <v/>
      </c>
      <c r="N99" s="9">
        <f>IF(MID(N$44,5,1)="1",1,"")</f>
        <v/>
      </c>
      <c r="O99" s="9">
        <f>IF(MID(O$44,5,1)="1",1,"")</f>
        <v/>
      </c>
      <c r="P99" s="9">
        <f>IF(MID(P$44,5,1)="1",1,"")</f>
        <v/>
      </c>
      <c r="Q99" s="9">
        <f>IF(MID(Q$44,5,1)="1",1,"")</f>
        <v/>
      </c>
      <c r="R99" s="9">
        <f>IF(MID(R$44,5,1)="1",1,"")</f>
        <v/>
      </c>
      <c r="S99" s="9">
        <f>IF(MID(S$44,5,1)="1",1,"")</f>
        <v/>
      </c>
      <c r="T99" s="9">
        <f>IF(MID(T$44,5,1)="1",1,"")</f>
        <v/>
      </c>
      <c r="U99" s="9">
        <f>IF(MID(U$44,5,1)="1",1,"")</f>
        <v/>
      </c>
      <c r="V99" s="9">
        <f>IF(MID(V$44,5,1)="1",1,"")</f>
        <v/>
      </c>
      <c r="W99" s="9">
        <f>IF(MID(W$44,5,1)="1",1,"")</f>
        <v/>
      </c>
      <c r="X99" s="9">
        <f>IF(MID(X$44,5,1)="1",1,"")</f>
        <v/>
      </c>
      <c r="Y99" s="9">
        <f>IF(MID(Y$44,5,1)="1",1,"")</f>
        <v/>
      </c>
      <c r="Z99" s="9">
        <f>IF(MID(Z$44,5,1)="1",1,"")</f>
        <v/>
      </c>
      <c r="AA99" s="9">
        <f>IF(MID(AA$44,5,1)="1",1,"")</f>
        <v/>
      </c>
      <c r="AB99" s="9">
        <f>IF(MID(AB$44,5,1)="1",1,"")</f>
        <v/>
      </c>
      <c r="AC99" s="9">
        <f>IF(MID(AC$44,5,1)="1",1,"")</f>
        <v/>
      </c>
      <c r="AD99" s="9">
        <f>IF(MID(AD$44,5,1)="1",1,"")</f>
        <v/>
      </c>
      <c r="AE99" s="9">
        <f>IF(MID(AE$44,5,1)="1",1,"")</f>
        <v/>
      </c>
      <c r="AF99" s="9">
        <f>IF(MID(AF$44,5,1)="1",1,"")</f>
        <v/>
      </c>
      <c r="AG99" s="9">
        <f>IF(MID(AG$44,5,1)="1",1,"")</f>
        <v/>
      </c>
      <c r="AH99" s="9">
        <f>IF(MID(AH$44,5,1)="1",1,"")</f>
        <v/>
      </c>
      <c r="AI99" s="9">
        <f>IF(MID(AI$44,5,1)="1",1,"")</f>
        <v/>
      </c>
      <c r="AJ99" s="9">
        <f>IF(MID(AJ$44,5,1)="1",1,"")</f>
        <v/>
      </c>
      <c r="AK99" s="9">
        <f>IF(MID(AK$44,5,1)="1",1,"")</f>
        <v/>
      </c>
    </row>
    <row r="100" customFormat="1" s="7">
      <c r="B100" s="7" t="n">
        <v>44</v>
      </c>
      <c r="C100" s="13" t="inlineStr">
        <is>
          <t>CFDS_BUS_FAIL</t>
        </is>
      </c>
      <c r="F100" s="14">
        <f>IF(MID(F$44,4,1)="1",1,"")</f>
        <v/>
      </c>
      <c r="G100" s="14">
        <f>IF(MID(G$44,4,1)="1",1,"")</f>
        <v/>
      </c>
      <c r="H100" s="14">
        <f>IF(MID(H$44,4,1)="1",1,"")</f>
        <v/>
      </c>
      <c r="I100" s="14">
        <f>IF(MID(I$44,4,1)="1",1,"")</f>
        <v/>
      </c>
      <c r="J100" s="14">
        <f>IF(MID(J$44,4,1)="1",1,"")</f>
        <v/>
      </c>
      <c r="K100" s="14">
        <f>IF(MID(K$44,4,1)="1",1,"")</f>
        <v/>
      </c>
      <c r="L100" s="14">
        <f>IF(MID(L$44,4,1)="1",1,"")</f>
        <v/>
      </c>
      <c r="M100" s="14">
        <f>IF(MID(M$44,4,1)="1",1,"")</f>
        <v/>
      </c>
      <c r="N100" s="14">
        <f>IF(MID(N$44,4,1)="1",1,"")</f>
        <v/>
      </c>
      <c r="O100" s="14">
        <f>IF(MID(O$44,4,1)="1",1,"")</f>
        <v/>
      </c>
      <c r="P100" s="14">
        <f>IF(MID(P$44,4,1)="1",1,"")</f>
        <v/>
      </c>
      <c r="Q100" s="14">
        <f>IF(MID(Q$44,4,1)="1",1,"")</f>
        <v/>
      </c>
      <c r="R100" s="14">
        <f>IF(MID(R$44,4,1)="1",1,"")</f>
        <v/>
      </c>
      <c r="S100" s="14">
        <f>IF(MID(S$44,4,1)="1",1,"")</f>
        <v/>
      </c>
      <c r="T100" s="14">
        <f>IF(MID(T$44,4,1)="1",1,"")</f>
        <v/>
      </c>
      <c r="U100" s="14">
        <f>IF(MID(U$44,4,1)="1",1,"")</f>
        <v/>
      </c>
      <c r="V100" s="14">
        <f>IF(MID(V$44,4,1)="1",1,"")</f>
        <v/>
      </c>
      <c r="W100" s="14">
        <f>IF(MID(W$44,4,1)="1",1,"")</f>
        <v/>
      </c>
      <c r="X100" s="14">
        <f>IF(MID(X$44,4,1)="1",1,"")</f>
        <v/>
      </c>
      <c r="Y100" s="14">
        <f>IF(MID(Y$44,4,1)="1",1,"")</f>
        <v/>
      </c>
      <c r="Z100" s="14">
        <f>IF(MID(Z$44,4,1)="1",1,"")</f>
        <v/>
      </c>
      <c r="AA100" s="14">
        <f>IF(MID(AA$44,4,1)="1",1,"")</f>
        <v/>
      </c>
      <c r="AB100" s="14">
        <f>IF(MID(AB$44,4,1)="1",1,"")</f>
        <v/>
      </c>
      <c r="AC100" s="14">
        <f>IF(MID(AC$44,4,1)="1",1,"")</f>
        <v/>
      </c>
      <c r="AD100" s="14">
        <f>IF(MID(AD$44,4,1)="1",1,"")</f>
        <v/>
      </c>
      <c r="AE100" s="14">
        <f>IF(MID(AE$44,4,1)="1",1,"")</f>
        <v/>
      </c>
      <c r="AF100" s="14">
        <f>IF(MID(AF$44,4,1)="1",1,"")</f>
        <v/>
      </c>
      <c r="AG100" s="14">
        <f>IF(MID(AG$44,4,1)="1",1,"")</f>
        <v/>
      </c>
      <c r="AH100" s="14">
        <f>IF(MID(AH$44,4,1)="1",1,"")</f>
        <v/>
      </c>
      <c r="AI100" s="14">
        <f>IF(MID(AI$44,4,1)="1",1,"")</f>
        <v/>
      </c>
      <c r="AJ100" s="14">
        <f>IF(MID(AJ$44,4,1)="1",1,"")</f>
        <v/>
      </c>
      <c r="AK100" s="14">
        <f>IF(MID(AK$44,4,1)="1",1,"")</f>
        <v/>
      </c>
    </row>
    <row r="101">
      <c r="B101" t="n">
        <v>45</v>
      </c>
      <c r="C101" s="15" t="inlineStr">
        <is>
          <t>ADIRS1_WR_FAIL</t>
        </is>
      </c>
      <c r="F101" s="9">
        <f>IF(MID(F$44,3,1)="1",1,"")</f>
        <v/>
      </c>
      <c r="G101" s="9">
        <f>IF(MID(G$44,3,1)="1",1,"")</f>
        <v/>
      </c>
      <c r="H101" s="9">
        <f>IF(MID(H$44,3,1)="1",1,"")</f>
        <v/>
      </c>
      <c r="I101" s="9">
        <f>IF(MID(I$44,3,1)="1",1,"")</f>
        <v/>
      </c>
      <c r="J101" s="9">
        <f>IF(MID(J$44,3,1)="1",1,"")</f>
        <v/>
      </c>
      <c r="K101" s="9">
        <f>IF(MID(K$44,3,1)="1",1,"")</f>
        <v/>
      </c>
      <c r="L101" s="9">
        <f>IF(MID(L$44,3,1)="1",1,"")</f>
        <v/>
      </c>
      <c r="M101" s="9">
        <f>IF(MID(M$44,3,1)="1",1,"")</f>
        <v/>
      </c>
      <c r="N101" s="9">
        <f>IF(MID(N$44,3,1)="1",1,"")</f>
        <v/>
      </c>
      <c r="O101" s="9">
        <f>IF(MID(O$44,3,1)="1",1,"")</f>
        <v/>
      </c>
      <c r="P101" s="9">
        <f>IF(MID(P$44,3,1)="1",1,"")</f>
        <v/>
      </c>
      <c r="Q101" s="9">
        <f>IF(MID(Q$44,3,1)="1",1,"")</f>
        <v/>
      </c>
      <c r="R101" s="9">
        <f>IF(MID(R$44,3,1)="1",1,"")</f>
        <v/>
      </c>
      <c r="S101" s="9">
        <f>IF(MID(S$44,3,1)="1",1,"")</f>
        <v/>
      </c>
      <c r="T101" s="9">
        <f>IF(MID(T$44,3,1)="1",1,"")</f>
        <v/>
      </c>
      <c r="U101" s="9">
        <f>IF(MID(U$44,3,1)="1",1,"")</f>
        <v/>
      </c>
      <c r="V101" s="9">
        <f>IF(MID(V$44,3,1)="1",1,"")</f>
        <v/>
      </c>
      <c r="W101" s="9">
        <f>IF(MID(W$44,3,1)="1",1,"")</f>
        <v/>
      </c>
      <c r="X101" s="9">
        <f>IF(MID(X$44,3,1)="1",1,"")</f>
        <v/>
      </c>
      <c r="Y101" s="9">
        <f>IF(MID(Y$44,3,1)="1",1,"")</f>
        <v/>
      </c>
      <c r="Z101" s="9">
        <f>IF(MID(Z$44,3,1)="1",1,"")</f>
        <v/>
      </c>
      <c r="AA101" s="9">
        <f>IF(MID(AA$44,3,1)="1",1,"")</f>
        <v/>
      </c>
      <c r="AB101" s="9">
        <f>IF(MID(AB$44,3,1)="1",1,"")</f>
        <v/>
      </c>
      <c r="AC101" s="9">
        <f>IF(MID(AC$44,3,1)="1",1,"")</f>
        <v/>
      </c>
      <c r="AD101" s="9">
        <f>IF(MID(AD$44,3,1)="1",1,"")</f>
        <v/>
      </c>
      <c r="AE101" s="9">
        <f>IF(MID(AE$44,3,1)="1",1,"")</f>
        <v/>
      </c>
      <c r="AF101" s="9">
        <f>IF(MID(AF$44,3,1)="1",1,"")</f>
        <v/>
      </c>
      <c r="AG101" s="9">
        <f>IF(MID(AG$44,3,1)="1",1,"")</f>
        <v/>
      </c>
      <c r="AH101" s="9">
        <f>IF(MID(AH$44,3,1)="1",1,"")</f>
        <v/>
      </c>
      <c r="AI101" s="9">
        <f>IF(MID(AI$44,3,1)="1",1,"")</f>
        <v/>
      </c>
      <c r="AJ101" s="9">
        <f>IF(MID(AJ$44,3,1)="1",1,"")</f>
        <v/>
      </c>
      <c r="AK101" s="9">
        <f>IF(MID(AK$44,3,1)="1",1,"")</f>
        <v/>
      </c>
    </row>
    <row r="102" customFormat="1" s="7">
      <c r="B102" s="7" t="n">
        <v>46</v>
      </c>
      <c r="C102" s="13" t="inlineStr">
        <is>
          <t>ADIRS2_WR_FAIL</t>
        </is>
      </c>
      <c r="F102" s="14">
        <f>IF(MID(F$44,2,1)="1",1,"")</f>
        <v/>
      </c>
      <c r="G102" s="14">
        <f>IF(MID(G$44,2,1)="1",1,"")</f>
        <v/>
      </c>
      <c r="H102" s="14">
        <f>IF(MID(H$44,2,1)="1",1,"")</f>
        <v/>
      </c>
      <c r="I102" s="14">
        <f>IF(MID(I$44,2,1)="1",1,"")</f>
        <v/>
      </c>
      <c r="J102" s="14">
        <f>IF(MID(J$44,2,1)="1",1,"")</f>
        <v/>
      </c>
      <c r="K102" s="14">
        <f>IF(MID(K$44,2,1)="1",1,"")</f>
        <v/>
      </c>
      <c r="L102" s="14">
        <f>IF(MID(L$44,2,1)="1",1,"")</f>
        <v/>
      </c>
      <c r="M102" s="14">
        <f>IF(MID(M$44,2,1)="1",1,"")</f>
        <v/>
      </c>
      <c r="N102" s="14">
        <f>IF(MID(N$44,2,1)="1",1,"")</f>
        <v/>
      </c>
      <c r="O102" s="14">
        <f>IF(MID(O$44,2,1)="1",1,"")</f>
        <v/>
      </c>
      <c r="P102" s="14">
        <f>IF(MID(P$44,2,1)="1",1,"")</f>
        <v/>
      </c>
      <c r="Q102" s="14">
        <f>IF(MID(Q$44,2,1)="1",1,"")</f>
        <v/>
      </c>
      <c r="R102" s="14">
        <f>IF(MID(R$44,2,1)="1",1,"")</f>
        <v/>
      </c>
      <c r="S102" s="14">
        <f>IF(MID(S$44,2,1)="1",1,"")</f>
        <v/>
      </c>
      <c r="T102" s="14">
        <f>IF(MID(T$44,2,1)="1",1,"")</f>
        <v/>
      </c>
      <c r="U102" s="14">
        <f>IF(MID(U$44,2,1)="1",1,"")</f>
        <v/>
      </c>
      <c r="V102" s="14">
        <f>IF(MID(V$44,2,1)="1",1,"")</f>
        <v/>
      </c>
      <c r="W102" s="14">
        <f>IF(MID(W$44,2,1)="1",1,"")</f>
        <v/>
      </c>
      <c r="X102" s="14">
        <f>IF(MID(X$44,2,1)="1",1,"")</f>
        <v/>
      </c>
      <c r="Y102" s="14">
        <f>IF(MID(Y$44,2,1)="1",1,"")</f>
        <v/>
      </c>
      <c r="Z102" s="14">
        <f>IF(MID(Z$44,2,1)="1",1,"")</f>
        <v/>
      </c>
      <c r="AA102" s="14">
        <f>IF(MID(AA$44,2,1)="1",1,"")</f>
        <v/>
      </c>
      <c r="AB102" s="14">
        <f>IF(MID(AB$44,2,1)="1",1,"")</f>
        <v/>
      </c>
      <c r="AC102" s="14">
        <f>IF(MID(AC$44,2,1)="1",1,"")</f>
        <v/>
      </c>
      <c r="AD102" s="14">
        <f>IF(MID(AD$44,2,1)="1",1,"")</f>
        <v/>
      </c>
      <c r="AE102" s="14">
        <f>IF(MID(AE$44,2,1)="1",1,"")</f>
        <v/>
      </c>
      <c r="AF102" s="14">
        <f>IF(MID(AF$44,2,1)="1",1,"")</f>
        <v/>
      </c>
      <c r="AG102" s="14">
        <f>IF(MID(AG$44,2,1)="1",1,"")</f>
        <v/>
      </c>
      <c r="AH102" s="14">
        <f>IF(MID(AH$44,2,1)="1",1,"")</f>
        <v/>
      </c>
      <c r="AI102" s="14">
        <f>IF(MID(AI$44,2,1)="1",1,"")</f>
        <v/>
      </c>
      <c r="AJ102" s="14">
        <f>IF(MID(AJ$44,2,1)="1",1,"")</f>
        <v/>
      </c>
      <c r="AK102" s="14">
        <f>IF(MID(AK$44,2,1)="1",1,"")</f>
        <v/>
      </c>
    </row>
    <row r="103">
      <c r="B103" t="n">
        <v>47</v>
      </c>
      <c r="C103" s="15" t="inlineStr">
        <is>
          <t>ADIRS3_WR_FAIL</t>
        </is>
      </c>
      <c r="F103" s="9">
        <f>IF(MID(F$44,1,1)="1",1,"")</f>
        <v/>
      </c>
      <c r="G103" s="9">
        <f>IF(MID(G$44,1,1)="1",1,"")</f>
        <v/>
      </c>
      <c r="H103" s="9">
        <f>IF(MID(H$44,1,1)="1",1,"")</f>
        <v/>
      </c>
      <c r="I103" s="9">
        <f>IF(MID(I$44,1,1)="1",1,"")</f>
        <v/>
      </c>
      <c r="J103" s="9">
        <f>IF(MID(J$44,1,1)="1",1,"")</f>
        <v/>
      </c>
      <c r="K103" s="9">
        <f>IF(MID(K$44,1,1)="1",1,"")</f>
        <v/>
      </c>
      <c r="L103" s="9">
        <f>IF(MID(L$44,1,1)="1",1,"")</f>
        <v/>
      </c>
      <c r="M103" s="9">
        <f>IF(MID(M$44,1,1)="1",1,"")</f>
        <v/>
      </c>
      <c r="N103" s="9">
        <f>IF(MID(N$44,1,1)="1",1,"")</f>
        <v/>
      </c>
      <c r="O103" s="9">
        <f>IF(MID(O$44,1,1)="1",1,"")</f>
        <v/>
      </c>
      <c r="P103" s="9">
        <f>IF(MID(P$44,1,1)="1",1,"")</f>
        <v/>
      </c>
      <c r="Q103" s="9">
        <f>IF(MID(Q$44,1,1)="1",1,"")</f>
        <v/>
      </c>
      <c r="R103" s="9">
        <f>IF(MID(R$44,1,1)="1",1,"")</f>
        <v/>
      </c>
      <c r="S103" s="9">
        <f>IF(MID(S$44,1,1)="1",1,"")</f>
        <v/>
      </c>
      <c r="T103" s="9">
        <f>IF(MID(T$44,1,1)="1",1,"")</f>
        <v/>
      </c>
      <c r="U103" s="9">
        <f>IF(MID(U$44,1,1)="1",1,"")</f>
        <v/>
      </c>
      <c r="V103" s="9">
        <f>IF(MID(V$44,1,1)="1",1,"")</f>
        <v/>
      </c>
      <c r="W103" s="9">
        <f>IF(MID(W$44,1,1)="1",1,"")</f>
        <v/>
      </c>
      <c r="X103" s="9">
        <f>IF(MID(X$44,1,1)="1",1,"")</f>
        <v/>
      </c>
      <c r="Y103" s="9">
        <f>IF(MID(Y$44,1,1)="1",1,"")</f>
        <v/>
      </c>
      <c r="Z103" s="9">
        <f>IF(MID(Z$44,1,1)="1",1,"")</f>
        <v/>
      </c>
      <c r="AA103" s="9">
        <f>IF(MID(AA$44,1,1)="1",1,"")</f>
        <v/>
      </c>
      <c r="AB103" s="9">
        <f>IF(MID(AB$44,1,1)="1",1,"")</f>
        <v/>
      </c>
      <c r="AC103" s="9">
        <f>IF(MID(AC$44,1,1)="1",1,"")</f>
        <v/>
      </c>
      <c r="AD103" s="9">
        <f>IF(MID(AD$44,1,1)="1",1,"")</f>
        <v/>
      </c>
      <c r="AE103" s="9">
        <f>IF(MID(AE$44,1,1)="1",1,"")</f>
        <v/>
      </c>
      <c r="AF103" s="9">
        <f>IF(MID(AF$44,1,1)="1",1,"")</f>
        <v/>
      </c>
      <c r="AG103" s="9">
        <f>IF(MID(AG$44,1,1)="1",1,"")</f>
        <v/>
      </c>
      <c r="AH103" s="9">
        <f>IF(MID(AH$44,1,1)="1",1,"")</f>
        <v/>
      </c>
      <c r="AI103" s="9">
        <f>IF(MID(AI$44,1,1)="1",1,"")</f>
        <v/>
      </c>
      <c r="AJ103" s="9">
        <f>IF(MID(AJ$44,1,1)="1",1,"")</f>
        <v/>
      </c>
      <c r="AK103" s="9">
        <f>IF(MID(AK$44,1,1)="1",1,"")</f>
        <v/>
      </c>
    </row>
    <row r="104" customFormat="1" s="7">
      <c r="B104" s="7" t="n">
        <v>48</v>
      </c>
      <c r="C104" s="13" t="inlineStr">
        <is>
          <t>WDT_TEST_FAIL</t>
        </is>
      </c>
      <c r="F104" s="14">
        <f>IF(MID(F$45,8,1)="1",1,"")</f>
        <v/>
      </c>
      <c r="G104" s="14">
        <f>IF(MID(G$45,8,1)="1",1,"")</f>
        <v/>
      </c>
      <c r="H104" s="14">
        <f>IF(MID(H$45,8,1)="1",1,"")</f>
        <v/>
      </c>
      <c r="I104" s="14">
        <f>IF(MID(I$45,8,1)="1",1,"")</f>
        <v/>
      </c>
      <c r="J104" s="14">
        <f>IF(MID(J$45,8,1)="1",1,"")</f>
        <v/>
      </c>
      <c r="K104" s="14">
        <f>IF(MID(K$45,8,1)="1",1,"")</f>
        <v/>
      </c>
      <c r="L104" s="14">
        <f>IF(MID(L$45,8,1)="1",1,"")</f>
        <v/>
      </c>
      <c r="M104" s="14">
        <f>IF(MID(M$45,8,1)="1",1,"")</f>
        <v/>
      </c>
      <c r="N104" s="14">
        <f>IF(MID(N$45,8,1)="1",1,"")</f>
        <v/>
      </c>
      <c r="O104" s="14">
        <f>IF(MID(O$45,8,1)="1",1,"")</f>
        <v/>
      </c>
      <c r="P104" s="14">
        <f>IF(MID(P$45,8,1)="1",1,"")</f>
        <v/>
      </c>
      <c r="Q104" s="14">
        <f>IF(MID(Q$45,8,1)="1",1,"")</f>
        <v/>
      </c>
      <c r="R104" s="14">
        <f>IF(MID(R$45,8,1)="1",1,"")</f>
        <v/>
      </c>
      <c r="S104" s="14">
        <f>IF(MID(S$45,8,1)="1",1,"")</f>
        <v/>
      </c>
      <c r="T104" s="14">
        <f>IF(MID(T$45,8,1)="1",1,"")</f>
        <v/>
      </c>
      <c r="U104" s="14">
        <f>IF(MID(U$45,8,1)="1",1,"")</f>
        <v/>
      </c>
      <c r="V104" s="14">
        <f>IF(MID(V$45,8,1)="1",1,"")</f>
        <v/>
      </c>
      <c r="W104" s="14">
        <f>IF(MID(W$45,8,1)="1",1,"")</f>
        <v/>
      </c>
      <c r="X104" s="14">
        <f>IF(MID(X$45,8,1)="1",1,"")</f>
        <v/>
      </c>
      <c r="Y104" s="14">
        <f>IF(MID(Y$45,8,1)="1",1,"")</f>
        <v/>
      </c>
      <c r="Z104" s="14">
        <f>IF(MID(Z$45,8,1)="1",1,"")</f>
        <v/>
      </c>
      <c r="AA104" s="14">
        <f>IF(MID(AA$45,8,1)="1",1,"")</f>
        <v/>
      </c>
      <c r="AB104" s="14">
        <f>IF(MID(AB$45,8,1)="1",1,"")</f>
        <v/>
      </c>
      <c r="AC104" s="14">
        <f>IF(MID(AC$45,8,1)="1",1,"")</f>
        <v/>
      </c>
      <c r="AD104" s="14">
        <f>IF(MID(AD$45,8,1)="1",1,"")</f>
        <v/>
      </c>
      <c r="AE104" s="14">
        <f>IF(MID(AE$45,8,1)="1",1,"")</f>
        <v/>
      </c>
      <c r="AF104" s="14">
        <f>IF(MID(AF$45,8,1)="1",1,"")</f>
        <v/>
      </c>
      <c r="AG104" s="14">
        <f>IF(MID(AG$45,8,1)="1",1,"")</f>
        <v/>
      </c>
      <c r="AH104" s="14">
        <f>IF(MID(AH$45,8,1)="1",1,"")</f>
        <v/>
      </c>
      <c r="AI104" s="14">
        <f>IF(MID(AI$45,8,1)="1",1,"")</f>
        <v/>
      </c>
      <c r="AJ104" s="14">
        <f>IF(MID(AJ$45,8,1)="1",1,"")</f>
        <v/>
      </c>
      <c r="AK104" s="14">
        <f>IF(MID(AK$45,8,1)="1",1,"")</f>
        <v/>
      </c>
    </row>
    <row r="105">
      <c r="B105" t="n">
        <v>49</v>
      </c>
      <c r="C105" s="15" t="inlineStr">
        <is>
          <t>FMS1_WR_FAIL</t>
        </is>
      </c>
      <c r="F105" s="9">
        <f>IF(MID(F$45,7,1)="1",1,"")</f>
        <v/>
      </c>
      <c r="G105" s="9">
        <f>IF(MID(G$45,7,1)="1",1,"")</f>
        <v/>
      </c>
      <c r="H105" s="9">
        <f>IF(MID(H$45,7,1)="1",1,"")</f>
        <v/>
      </c>
      <c r="I105" s="9">
        <f>IF(MID(I$45,7,1)="1",1,"")</f>
        <v/>
      </c>
      <c r="J105" s="9">
        <f>IF(MID(J$45,7,1)="1",1,"")</f>
        <v/>
      </c>
      <c r="K105" s="9">
        <f>IF(MID(K$45,7,1)="1",1,"")</f>
        <v/>
      </c>
      <c r="L105" s="9">
        <f>IF(MID(L$45,7,1)="1",1,"")</f>
        <v/>
      </c>
      <c r="M105" s="9">
        <f>IF(MID(M$45,7,1)="1",1,"")</f>
        <v/>
      </c>
      <c r="N105" s="9">
        <f>IF(MID(N$45,7,1)="1",1,"")</f>
        <v/>
      </c>
      <c r="O105" s="9">
        <f>IF(MID(O$45,7,1)="1",1,"")</f>
        <v/>
      </c>
      <c r="P105" s="9">
        <f>IF(MID(P$45,7,1)="1",1,"")</f>
        <v/>
      </c>
      <c r="Q105" s="9">
        <f>IF(MID(Q$45,7,1)="1",1,"")</f>
        <v/>
      </c>
      <c r="R105" s="9">
        <f>IF(MID(R$45,7,1)="1",1,"")</f>
        <v/>
      </c>
      <c r="S105" s="9">
        <f>IF(MID(S$45,7,1)="1",1,"")</f>
        <v/>
      </c>
      <c r="T105" s="9">
        <f>IF(MID(T$45,7,1)="1",1,"")</f>
        <v/>
      </c>
      <c r="U105" s="9">
        <f>IF(MID(U$45,7,1)="1",1,"")</f>
        <v/>
      </c>
      <c r="V105" s="9">
        <f>IF(MID(V$45,7,1)="1",1,"")</f>
        <v/>
      </c>
      <c r="W105" s="9">
        <f>IF(MID(W$45,7,1)="1",1,"")</f>
        <v/>
      </c>
      <c r="X105" s="9">
        <f>IF(MID(X$45,7,1)="1",1,"")</f>
        <v/>
      </c>
      <c r="Y105" s="9">
        <f>IF(MID(Y$45,7,1)="1",1,"")</f>
        <v/>
      </c>
      <c r="Z105" s="9">
        <f>IF(MID(Z$45,7,1)="1",1,"")</f>
        <v/>
      </c>
      <c r="AA105" s="9">
        <f>IF(MID(AA$45,7,1)="1",1,"")</f>
        <v/>
      </c>
      <c r="AB105" s="9">
        <f>IF(MID(AB$45,7,1)="1",1,"")</f>
        <v/>
      </c>
      <c r="AC105" s="9">
        <f>IF(MID(AC$45,7,1)="1",1,"")</f>
        <v/>
      </c>
      <c r="AD105" s="9">
        <f>IF(MID(AD$45,7,1)="1",1,"")</f>
        <v/>
      </c>
      <c r="AE105" s="9">
        <f>IF(MID(AE$45,7,1)="1",1,"")</f>
        <v/>
      </c>
      <c r="AF105" s="9">
        <f>IF(MID(AF$45,7,1)="1",1,"")</f>
        <v/>
      </c>
      <c r="AG105" s="9">
        <f>IF(MID(AG$45,7,1)="1",1,"")</f>
        <v/>
      </c>
      <c r="AH105" s="9">
        <f>IF(MID(AH$45,7,1)="1",1,"")</f>
        <v/>
      </c>
      <c r="AI105" s="9">
        <f>IF(MID(AI$45,7,1)="1",1,"")</f>
        <v/>
      </c>
      <c r="AJ105" s="9">
        <f>IF(MID(AJ$45,7,1)="1",1,"")</f>
        <v/>
      </c>
      <c r="AK105" s="9">
        <f>IF(MID(AK$45,7,1)="1",1,"")</f>
        <v/>
      </c>
    </row>
    <row r="106" customFormat="1" s="7">
      <c r="B106" s="7" t="n">
        <v>50</v>
      </c>
      <c r="C106" s="13" t="inlineStr">
        <is>
          <t>LFES_FAIL</t>
        </is>
      </c>
      <c r="F106" s="14">
        <f>IF(MID(F$45,6,1)="1",1,"")</f>
        <v/>
      </c>
      <c r="G106" s="14">
        <f>IF(MID(G$45,6,1)="1",1,"")</f>
        <v/>
      </c>
      <c r="H106" s="14">
        <f>IF(MID(H$45,6,1)="1",1,"")</f>
        <v/>
      </c>
      <c r="I106" s="14">
        <f>IF(MID(I$45,6,1)="1",1,"")</f>
        <v/>
      </c>
      <c r="J106" s="14">
        <f>IF(MID(J$45,6,1)="1",1,"")</f>
        <v/>
      </c>
      <c r="K106" s="14">
        <f>IF(MID(K$45,6,1)="1",1,"")</f>
        <v/>
      </c>
      <c r="L106" s="14">
        <f>IF(MID(L$45,6,1)="1",1,"")</f>
        <v/>
      </c>
      <c r="M106" s="14">
        <f>IF(MID(M$45,6,1)="1",1,"")</f>
        <v/>
      </c>
      <c r="N106" s="14">
        <f>IF(MID(N$45,6,1)="1",1,"")</f>
        <v/>
      </c>
      <c r="O106" s="14">
        <f>IF(MID(O$45,6,1)="1",1,"")</f>
        <v/>
      </c>
      <c r="P106" s="14">
        <f>IF(MID(P$45,6,1)="1",1,"")</f>
        <v/>
      </c>
      <c r="Q106" s="14">
        <f>IF(MID(Q$45,6,1)="1",1,"")</f>
        <v/>
      </c>
      <c r="R106" s="14">
        <f>IF(MID(R$45,6,1)="1",1,"")</f>
        <v/>
      </c>
      <c r="S106" s="14">
        <f>IF(MID(S$45,6,1)="1",1,"")</f>
        <v/>
      </c>
      <c r="T106" s="14">
        <f>IF(MID(T$45,6,1)="1",1,"")</f>
        <v/>
      </c>
      <c r="U106" s="14">
        <f>IF(MID(U$45,6,1)="1",1,"")</f>
        <v/>
      </c>
      <c r="V106" s="14">
        <f>IF(MID(V$45,6,1)="1",1,"")</f>
        <v/>
      </c>
      <c r="W106" s="14">
        <f>IF(MID(W$45,6,1)="1",1,"")</f>
        <v/>
      </c>
      <c r="X106" s="14">
        <f>IF(MID(X$45,6,1)="1",1,"")</f>
        <v/>
      </c>
      <c r="Y106" s="14">
        <f>IF(MID(Y$45,6,1)="1",1,"")</f>
        <v/>
      </c>
      <c r="Z106" s="14">
        <f>IF(MID(Z$45,6,1)="1",1,"")</f>
        <v/>
      </c>
      <c r="AA106" s="14">
        <f>IF(MID(AA$45,6,1)="1",1,"")</f>
        <v/>
      </c>
      <c r="AB106" s="14">
        <f>IF(MID(AB$45,6,1)="1",1,"")</f>
        <v/>
      </c>
      <c r="AC106" s="14">
        <f>IF(MID(AC$45,6,1)="1",1,"")</f>
        <v/>
      </c>
      <c r="AD106" s="14">
        <f>IF(MID(AD$45,6,1)="1",1,"")</f>
        <v/>
      </c>
      <c r="AE106" s="14">
        <f>IF(MID(AE$45,6,1)="1",1,"")</f>
        <v/>
      </c>
      <c r="AF106" s="14">
        <f>IF(MID(AF$45,6,1)="1",1,"")</f>
        <v/>
      </c>
      <c r="AG106" s="14">
        <f>IF(MID(AG$45,6,1)="1",1,"")</f>
        <v/>
      </c>
      <c r="AH106" s="14">
        <f>IF(MID(AH$45,6,1)="1",1,"")</f>
        <v/>
      </c>
      <c r="AI106" s="14">
        <f>IF(MID(AI$45,6,1)="1",1,"")</f>
        <v/>
      </c>
      <c r="AJ106" s="14">
        <f>IF(MID(AJ$45,6,1)="1",1,"")</f>
        <v/>
      </c>
      <c r="AK106" s="14">
        <f>IF(MID(AK$45,6,1)="1",1,"")</f>
        <v/>
      </c>
    </row>
    <row r="107">
      <c r="B107" t="n">
        <v>51</v>
      </c>
      <c r="C107" s="15" t="inlineStr">
        <is>
          <t>RS422_FAULT_ISOLATION_CTR_FAIL</t>
        </is>
      </c>
      <c r="F107" s="9">
        <f>IF(MID(F$45,5,1)="1",1,"")</f>
        <v/>
      </c>
      <c r="G107" s="9">
        <f>IF(MID(G$45,5,1)="1",1,"")</f>
        <v/>
      </c>
      <c r="H107" s="9">
        <f>IF(MID(H$45,5,1)="1",1,"")</f>
        <v/>
      </c>
      <c r="I107" s="9">
        <f>IF(MID(I$45,5,1)="1",1,"")</f>
        <v/>
      </c>
      <c r="J107" s="9">
        <f>IF(MID(J$45,5,1)="1",1,"")</f>
        <v/>
      </c>
      <c r="K107" s="9">
        <f>IF(MID(K$45,5,1)="1",1,"")</f>
        <v/>
      </c>
      <c r="L107" s="9">
        <f>IF(MID(L$45,5,1)="1",1,"")</f>
        <v/>
      </c>
      <c r="M107" s="9">
        <f>IF(MID(M$45,5,1)="1",1,"")</f>
        <v/>
      </c>
      <c r="N107" s="9">
        <f>IF(MID(N$45,5,1)="1",1,"")</f>
        <v/>
      </c>
      <c r="O107" s="9">
        <f>IF(MID(O$45,5,1)="1",1,"")</f>
        <v/>
      </c>
      <c r="P107" s="9">
        <f>IF(MID(P$45,5,1)="1",1,"")</f>
        <v/>
      </c>
      <c r="Q107" s="9">
        <f>IF(MID(Q$45,5,1)="1",1,"")</f>
        <v/>
      </c>
      <c r="R107" s="9">
        <f>IF(MID(R$45,5,1)="1",1,"")</f>
        <v/>
      </c>
      <c r="S107" s="9">
        <f>IF(MID(S$45,5,1)="1",1,"")</f>
        <v/>
      </c>
      <c r="T107" s="9">
        <f>IF(MID(T$45,5,1)="1",1,"")</f>
        <v/>
      </c>
      <c r="U107" s="9">
        <f>IF(MID(U$45,5,1)="1",1,"")</f>
        <v/>
      </c>
      <c r="V107" s="9">
        <f>IF(MID(V$45,5,1)="1",1,"")</f>
        <v/>
      </c>
      <c r="W107" s="9">
        <f>IF(MID(W$45,5,1)="1",1,"")</f>
        <v/>
      </c>
      <c r="X107" s="9">
        <f>IF(MID(X$45,5,1)="1",1,"")</f>
        <v/>
      </c>
      <c r="Y107" s="9">
        <f>IF(MID(Y$45,5,1)="1",1,"")</f>
        <v/>
      </c>
      <c r="Z107" s="9">
        <f>IF(MID(Z$45,5,1)="1",1,"")</f>
        <v/>
      </c>
      <c r="AA107" s="9">
        <f>IF(MID(AA$45,5,1)="1",1,"")</f>
        <v/>
      </c>
      <c r="AB107" s="9">
        <f>IF(MID(AB$45,5,1)="1",1,"")</f>
        <v/>
      </c>
      <c r="AC107" s="9">
        <f>IF(MID(AC$45,5,1)="1",1,"")</f>
        <v/>
      </c>
      <c r="AD107" s="9">
        <f>IF(MID(AD$45,5,1)="1",1,"")</f>
        <v/>
      </c>
      <c r="AE107" s="9">
        <f>IF(MID(AE$45,5,1)="1",1,"")</f>
        <v/>
      </c>
      <c r="AF107" s="9">
        <f>IF(MID(AF$45,5,1)="1",1,"")</f>
        <v/>
      </c>
      <c r="AG107" s="9">
        <f>IF(MID(AG$45,5,1)="1",1,"")</f>
        <v/>
      </c>
      <c r="AH107" s="9">
        <f>IF(MID(AH$45,5,1)="1",1,"")</f>
        <v/>
      </c>
      <c r="AI107" s="9">
        <f>IF(MID(AI$45,5,1)="1",1,"")</f>
        <v/>
      </c>
      <c r="AJ107" s="9">
        <f>IF(MID(AJ$45,5,1)="1",1,"")</f>
        <v/>
      </c>
      <c r="AK107" s="9">
        <f>IF(MID(AK$45,5,1)="1",1,"")</f>
        <v/>
      </c>
    </row>
    <row r="108" customFormat="1" s="7">
      <c r="B108" s="7" t="n">
        <v>52</v>
      </c>
      <c r="C108" s="13" t="inlineStr">
        <is>
          <t>RS422_FAULT_ISOLATION_ACT_FAIL</t>
        </is>
      </c>
      <c r="F108" s="14">
        <f>IF(MID(F$45,4,1)="1",1,"")</f>
        <v/>
      </c>
      <c r="G108" s="14">
        <f>IF(MID(G$45,4,1)="1",1,"")</f>
        <v/>
      </c>
      <c r="H108" s="14">
        <f>IF(MID(H$45,4,1)="1",1,"")</f>
        <v/>
      </c>
      <c r="I108" s="14">
        <f>IF(MID(I$45,4,1)="1",1,"")</f>
        <v/>
      </c>
      <c r="J108" s="14">
        <f>IF(MID(J$45,4,1)="1",1,"")</f>
        <v/>
      </c>
      <c r="K108" s="14">
        <f>IF(MID(K$45,4,1)="1",1,"")</f>
        <v/>
      </c>
      <c r="L108" s="14">
        <f>IF(MID(L$45,4,1)="1",1,"")</f>
        <v/>
      </c>
      <c r="M108" s="14">
        <f>IF(MID(M$45,4,1)="1",1,"")</f>
        <v/>
      </c>
      <c r="N108" s="14">
        <f>IF(MID(N$45,4,1)="1",1,"")</f>
        <v/>
      </c>
      <c r="O108" s="14">
        <f>IF(MID(O$45,4,1)="1",1,"")</f>
        <v/>
      </c>
      <c r="P108" s="14">
        <f>IF(MID(P$45,4,1)="1",1,"")</f>
        <v/>
      </c>
      <c r="Q108" s="14">
        <f>IF(MID(Q$45,4,1)="1",1,"")</f>
        <v/>
      </c>
      <c r="R108" s="14">
        <f>IF(MID(R$45,4,1)="1",1,"")</f>
        <v/>
      </c>
      <c r="S108" s="14">
        <f>IF(MID(S$45,4,1)="1",1,"")</f>
        <v/>
      </c>
      <c r="T108" s="14">
        <f>IF(MID(T$45,4,1)="1",1,"")</f>
        <v/>
      </c>
      <c r="U108" s="14">
        <f>IF(MID(U$45,4,1)="1",1,"")</f>
        <v/>
      </c>
      <c r="V108" s="14">
        <f>IF(MID(V$45,4,1)="1",1,"")</f>
        <v/>
      </c>
      <c r="W108" s="14">
        <f>IF(MID(W$45,4,1)="1",1,"")</f>
        <v/>
      </c>
      <c r="X108" s="14">
        <f>IF(MID(X$45,4,1)="1",1,"")</f>
        <v/>
      </c>
      <c r="Y108" s="14">
        <f>IF(MID(Y$45,4,1)="1",1,"")</f>
        <v/>
      </c>
      <c r="Z108" s="14">
        <f>IF(MID(Z$45,4,1)="1",1,"")</f>
        <v/>
      </c>
      <c r="AA108" s="14">
        <f>IF(MID(AA$45,4,1)="1",1,"")</f>
        <v/>
      </c>
      <c r="AB108" s="14">
        <f>IF(MID(AB$45,4,1)="1",1,"")</f>
        <v/>
      </c>
      <c r="AC108" s="14">
        <f>IF(MID(AC$45,4,1)="1",1,"")</f>
        <v/>
      </c>
      <c r="AD108" s="14">
        <f>IF(MID(AD$45,4,1)="1",1,"")</f>
        <v/>
      </c>
      <c r="AE108" s="14">
        <f>IF(MID(AE$45,4,1)="1",1,"")</f>
        <v/>
      </c>
      <c r="AF108" s="14">
        <f>IF(MID(AF$45,4,1)="1",1,"")</f>
        <v/>
      </c>
      <c r="AG108" s="14">
        <f>IF(MID(AG$45,4,1)="1",1,"")</f>
        <v/>
      </c>
      <c r="AH108" s="14">
        <f>IF(MID(AH$45,4,1)="1",1,"")</f>
        <v/>
      </c>
      <c r="AI108" s="14">
        <f>IF(MID(AI$45,4,1)="1",1,"")</f>
        <v/>
      </c>
      <c r="AJ108" s="14">
        <f>IF(MID(AJ$45,4,1)="1",1,"")</f>
        <v/>
      </c>
      <c r="AK108" s="14">
        <f>IF(MID(AK$45,4,1)="1",1,"")</f>
        <v/>
      </c>
    </row>
    <row r="109">
      <c r="B109" t="n">
        <v>53</v>
      </c>
      <c r="C109" s="15" t="inlineStr">
        <is>
          <t>FMS2_WR_FAIL</t>
        </is>
      </c>
      <c r="F109" s="9">
        <f>IF(MID(F$45,3,1)="1",1,"")</f>
        <v/>
      </c>
      <c r="G109" s="9">
        <f>IF(MID(G$45,3,1)="1",1,"")</f>
        <v/>
      </c>
      <c r="H109" s="9">
        <f>IF(MID(H$45,3,1)="1",1,"")</f>
        <v/>
      </c>
      <c r="I109" s="9">
        <f>IF(MID(I$45,3,1)="1",1,"")</f>
        <v/>
      </c>
      <c r="J109" s="9">
        <f>IF(MID(J$45,3,1)="1",1,"")</f>
        <v/>
      </c>
      <c r="K109" s="9">
        <f>IF(MID(K$45,3,1)="1",1,"")</f>
        <v/>
      </c>
      <c r="L109" s="9">
        <f>IF(MID(L$45,3,1)="1",1,"")</f>
        <v/>
      </c>
      <c r="M109" s="9">
        <f>IF(MID(M$45,3,1)="1",1,"")</f>
        <v/>
      </c>
      <c r="N109" s="9">
        <f>IF(MID(N$45,3,1)="1",1,"")</f>
        <v/>
      </c>
      <c r="O109" s="9">
        <f>IF(MID(O$45,3,1)="1",1,"")</f>
        <v/>
      </c>
      <c r="P109" s="9">
        <f>IF(MID(P$45,3,1)="1",1,"")</f>
        <v/>
      </c>
      <c r="Q109" s="9">
        <f>IF(MID(Q$45,3,1)="1",1,"")</f>
        <v/>
      </c>
      <c r="R109" s="9">
        <f>IF(MID(R$45,3,1)="1",1,"")</f>
        <v/>
      </c>
      <c r="S109" s="9">
        <f>IF(MID(S$45,3,1)="1",1,"")</f>
        <v/>
      </c>
      <c r="T109" s="9">
        <f>IF(MID(T$45,3,1)="1",1,"")</f>
        <v/>
      </c>
      <c r="U109" s="9">
        <f>IF(MID(U$45,3,1)="1",1,"")</f>
        <v/>
      </c>
      <c r="V109" s="9">
        <f>IF(MID(V$45,3,1)="1",1,"")</f>
        <v/>
      </c>
      <c r="W109" s="9">
        <f>IF(MID(W$45,3,1)="1",1,"")</f>
        <v/>
      </c>
      <c r="X109" s="9">
        <f>IF(MID(X$45,3,1)="1",1,"")</f>
        <v/>
      </c>
      <c r="Y109" s="9">
        <f>IF(MID(Y$45,3,1)="1",1,"")</f>
        <v/>
      </c>
      <c r="Z109" s="9">
        <f>IF(MID(Z$45,3,1)="1",1,"")</f>
        <v/>
      </c>
      <c r="AA109" s="9">
        <f>IF(MID(AA$45,3,1)="1",1,"")</f>
        <v/>
      </c>
      <c r="AB109" s="9">
        <f>IF(MID(AB$45,3,1)="1",1,"")</f>
        <v/>
      </c>
      <c r="AC109" s="9">
        <f>IF(MID(AC$45,3,1)="1",1,"")</f>
        <v/>
      </c>
      <c r="AD109" s="9">
        <f>IF(MID(AD$45,3,1)="1",1,"")</f>
        <v/>
      </c>
      <c r="AE109" s="9">
        <f>IF(MID(AE$45,3,1)="1",1,"")</f>
        <v/>
      </c>
      <c r="AF109" s="9">
        <f>IF(MID(AF$45,3,1)="1",1,"")</f>
        <v/>
      </c>
      <c r="AG109" s="9">
        <f>IF(MID(AG$45,3,1)="1",1,"")</f>
        <v/>
      </c>
      <c r="AH109" s="9">
        <f>IF(MID(AH$45,3,1)="1",1,"")</f>
        <v/>
      </c>
      <c r="AI109" s="9">
        <f>IF(MID(AI$45,3,1)="1",1,"")</f>
        <v/>
      </c>
      <c r="AJ109" s="9">
        <f>IF(MID(AJ$45,3,1)="1",1,"")</f>
        <v/>
      </c>
      <c r="AK109" s="9">
        <f>IF(MID(AK$45,3,1)="1",1,"")</f>
        <v/>
      </c>
    </row>
    <row r="110" customFormat="1" s="7">
      <c r="B110" s="7" t="n">
        <v>54</v>
      </c>
      <c r="C110" s="13" t="inlineStr">
        <is>
          <t>FMS1_FAIL</t>
        </is>
      </c>
      <c r="F110" s="14">
        <f>IF(MID(F$45,2,1)="1",1,"")</f>
        <v/>
      </c>
      <c r="G110" s="14">
        <f>IF(MID(G$45,2,1)="1",1,"")</f>
        <v/>
      </c>
      <c r="H110" s="14">
        <f>IF(MID(H$45,2,1)="1",1,"")</f>
        <v/>
      </c>
      <c r="I110" s="14">
        <f>IF(MID(I$45,2,1)="1",1,"")</f>
        <v/>
      </c>
      <c r="J110" s="14">
        <f>IF(MID(J$45,2,1)="1",1,"")</f>
        <v/>
      </c>
      <c r="K110" s="14">
        <f>IF(MID(K$45,2,1)="1",1,"")</f>
        <v/>
      </c>
      <c r="L110" s="14">
        <f>IF(MID(L$45,2,1)="1",1,"")</f>
        <v/>
      </c>
      <c r="M110" s="14">
        <f>IF(MID(M$45,2,1)="1",1,"")</f>
        <v/>
      </c>
      <c r="N110" s="14">
        <f>IF(MID(N$45,2,1)="1",1,"")</f>
        <v/>
      </c>
      <c r="O110" s="14">
        <f>IF(MID(O$45,2,1)="1",1,"")</f>
        <v/>
      </c>
      <c r="P110" s="14">
        <f>IF(MID(P$45,2,1)="1",1,"")</f>
        <v/>
      </c>
      <c r="Q110" s="14">
        <f>IF(MID(Q$45,2,1)="1",1,"")</f>
        <v/>
      </c>
      <c r="R110" s="14">
        <f>IF(MID(R$45,2,1)="1",1,"")</f>
        <v/>
      </c>
      <c r="S110" s="14">
        <f>IF(MID(S$45,2,1)="1",1,"")</f>
        <v/>
      </c>
      <c r="T110" s="14">
        <f>IF(MID(T$45,2,1)="1",1,"")</f>
        <v/>
      </c>
      <c r="U110" s="14">
        <f>IF(MID(U$45,2,1)="1",1,"")</f>
        <v/>
      </c>
      <c r="V110" s="14">
        <f>IF(MID(V$45,2,1)="1",1,"")</f>
        <v/>
      </c>
      <c r="W110" s="14">
        <f>IF(MID(W$45,2,1)="1",1,"")</f>
        <v/>
      </c>
      <c r="X110" s="14">
        <f>IF(MID(X$45,2,1)="1",1,"")</f>
        <v/>
      </c>
      <c r="Y110" s="14">
        <f>IF(MID(Y$45,2,1)="1",1,"")</f>
        <v/>
      </c>
      <c r="Z110" s="14">
        <f>IF(MID(Z$45,2,1)="1",1,"")</f>
        <v/>
      </c>
      <c r="AA110" s="14">
        <f>IF(MID(AA$45,2,1)="1",1,"")</f>
        <v/>
      </c>
      <c r="AB110" s="14">
        <f>IF(MID(AB$45,2,1)="1",1,"")</f>
        <v/>
      </c>
      <c r="AC110" s="14">
        <f>IF(MID(AC$45,2,1)="1",1,"")</f>
        <v/>
      </c>
      <c r="AD110" s="14">
        <f>IF(MID(AD$45,2,1)="1",1,"")</f>
        <v/>
      </c>
      <c r="AE110" s="14">
        <f>IF(MID(AE$45,2,1)="1",1,"")</f>
        <v/>
      </c>
      <c r="AF110" s="14">
        <f>IF(MID(AF$45,2,1)="1",1,"")</f>
        <v/>
      </c>
      <c r="AG110" s="14">
        <f>IF(MID(AG$45,2,1)="1",1,"")</f>
        <v/>
      </c>
      <c r="AH110" s="14">
        <f>IF(MID(AH$45,2,1)="1",1,"")</f>
        <v/>
      </c>
      <c r="AI110" s="14">
        <f>IF(MID(AI$45,2,1)="1",1,"")</f>
        <v/>
      </c>
      <c r="AJ110" s="14">
        <f>IF(MID(AJ$45,2,1)="1",1,"")</f>
        <v/>
      </c>
      <c r="AK110" s="14">
        <f>IF(MID(AK$45,2,1)="1",1,"")</f>
        <v/>
      </c>
    </row>
    <row r="111">
      <c r="B111" t="n">
        <v>55</v>
      </c>
      <c r="C111" s="15" t="inlineStr">
        <is>
          <t>FMS2_FAIL</t>
        </is>
      </c>
      <c r="F111" s="9">
        <f>IF(MID(F$45,1,1)="1",1,"")</f>
        <v/>
      </c>
      <c r="G111" s="9">
        <f>IF(MID(G$45,1,1)="1",1,"")</f>
        <v/>
      </c>
      <c r="H111" s="9">
        <f>IF(MID(H$45,1,1)="1",1,"")</f>
        <v/>
      </c>
      <c r="I111" s="9">
        <f>IF(MID(I$45,1,1)="1",1,"")</f>
        <v/>
      </c>
      <c r="J111" s="9">
        <f>IF(MID(J$45,1,1)="1",1,"")</f>
        <v/>
      </c>
      <c r="K111" s="9">
        <f>IF(MID(K$45,1,1)="1",1,"")</f>
        <v/>
      </c>
      <c r="L111" s="9">
        <f>IF(MID(L$45,1,1)="1",1,"")</f>
        <v/>
      </c>
      <c r="M111" s="9">
        <f>IF(MID(M$45,1,1)="1",1,"")</f>
        <v/>
      </c>
      <c r="N111" s="9">
        <f>IF(MID(N$45,1,1)="1",1,"")</f>
        <v/>
      </c>
      <c r="O111" s="9">
        <f>IF(MID(O$45,1,1)="1",1,"")</f>
        <v/>
      </c>
      <c r="P111" s="9">
        <f>IF(MID(P$45,1,1)="1",1,"")</f>
        <v/>
      </c>
      <c r="Q111" s="9">
        <f>IF(MID(Q$45,1,1)="1",1,"")</f>
        <v/>
      </c>
      <c r="R111" s="9">
        <f>IF(MID(R$45,1,1)="1",1,"")</f>
        <v/>
      </c>
      <c r="S111" s="9">
        <f>IF(MID(S$45,1,1)="1",1,"")</f>
        <v/>
      </c>
      <c r="T111" s="9">
        <f>IF(MID(T$45,1,1)="1",1,"")</f>
        <v/>
      </c>
      <c r="U111" s="9">
        <f>IF(MID(U$45,1,1)="1",1,"")</f>
        <v/>
      </c>
      <c r="V111" s="9">
        <f>IF(MID(V$45,1,1)="1",1,"")</f>
        <v/>
      </c>
      <c r="W111" s="9">
        <f>IF(MID(W$45,1,1)="1",1,"")</f>
        <v/>
      </c>
      <c r="X111" s="9">
        <f>IF(MID(X$45,1,1)="1",1,"")</f>
        <v/>
      </c>
      <c r="Y111" s="9">
        <f>IF(MID(Y$45,1,1)="1",1,"")</f>
        <v/>
      </c>
      <c r="Z111" s="9">
        <f>IF(MID(Z$45,1,1)="1",1,"")</f>
        <v/>
      </c>
      <c r="AA111" s="9">
        <f>IF(MID(AA$45,1,1)="1",1,"")</f>
        <v/>
      </c>
      <c r="AB111" s="9">
        <f>IF(MID(AB$45,1,1)="1",1,"")</f>
        <v/>
      </c>
      <c r="AC111" s="9">
        <f>IF(MID(AC$45,1,1)="1",1,"")</f>
        <v/>
      </c>
      <c r="AD111" s="9">
        <f>IF(MID(AD$45,1,1)="1",1,"")</f>
        <v/>
      </c>
      <c r="AE111" s="9">
        <f>IF(MID(AE$45,1,1)="1",1,"")</f>
        <v/>
      </c>
      <c r="AF111" s="9">
        <f>IF(MID(AF$45,1,1)="1",1,"")</f>
        <v/>
      </c>
      <c r="AG111" s="9">
        <f>IF(MID(AG$45,1,1)="1",1,"")</f>
        <v/>
      </c>
      <c r="AH111" s="9">
        <f>IF(MID(AH$45,1,1)="1",1,"")</f>
        <v/>
      </c>
      <c r="AI111" s="9">
        <f>IF(MID(AI$45,1,1)="1",1,"")</f>
        <v/>
      </c>
      <c r="AJ111" s="9">
        <f>IF(MID(AJ$45,1,1)="1",1,"")</f>
        <v/>
      </c>
      <c r="AK111" s="9">
        <f>IF(MID(AK$45,1,1)="1",1,"")</f>
        <v/>
      </c>
    </row>
    <row r="112" customFormat="1" s="7">
      <c r="B112" s="7" t="n">
        <v>56</v>
      </c>
      <c r="C112" s="13" t="inlineStr">
        <is>
          <t>28V_DRIVE_LOW</t>
        </is>
      </c>
      <c r="F112" s="14">
        <f>IF(MID(F$46,8,1)="1",1,"")</f>
        <v/>
      </c>
      <c r="G112" s="14">
        <f>IF(MID(G$46,8,1)="1",1,"")</f>
        <v/>
      </c>
      <c r="H112" s="14">
        <f>IF(MID(H$46,8,1)="1",1,"")</f>
        <v/>
      </c>
      <c r="I112" s="14">
        <f>IF(MID(I$46,8,1)="1",1,"")</f>
        <v/>
      </c>
      <c r="J112" s="14">
        <f>IF(MID(J$46,8,1)="1",1,"")</f>
        <v/>
      </c>
      <c r="K112" s="14">
        <f>IF(MID(K$46,8,1)="1",1,"")</f>
        <v/>
      </c>
      <c r="L112" s="14">
        <f>IF(MID(L$46,8,1)="1",1,"")</f>
        <v/>
      </c>
      <c r="M112" s="14">
        <f>IF(MID(M$46,8,1)="1",1,"")</f>
        <v/>
      </c>
      <c r="N112" s="14">
        <f>IF(MID(N$46,8,1)="1",1,"")</f>
        <v/>
      </c>
      <c r="O112" s="14">
        <f>IF(MID(O$46,8,1)="1",1,"")</f>
        <v/>
      </c>
      <c r="P112" s="14">
        <f>IF(MID(P$46,8,1)="1",1,"")</f>
        <v/>
      </c>
      <c r="Q112" s="14">
        <f>IF(MID(Q$46,8,1)="1",1,"")</f>
        <v/>
      </c>
      <c r="R112" s="14">
        <f>IF(MID(R$46,8,1)="1",1,"")</f>
        <v/>
      </c>
      <c r="S112" s="14">
        <f>IF(MID(S$46,8,1)="1",1,"")</f>
        <v/>
      </c>
      <c r="T112" s="14">
        <f>IF(MID(T$46,8,1)="1",1,"")</f>
        <v/>
      </c>
      <c r="U112" s="14">
        <f>IF(MID(U$46,8,1)="1",1,"")</f>
        <v/>
      </c>
      <c r="V112" s="14">
        <f>IF(MID(V$46,8,1)="1",1,"")</f>
        <v/>
      </c>
      <c r="W112" s="14">
        <f>IF(MID(W$46,8,1)="1",1,"")</f>
        <v/>
      </c>
      <c r="X112" s="14">
        <f>IF(MID(X$46,8,1)="1",1,"")</f>
        <v/>
      </c>
      <c r="Y112" s="14">
        <f>IF(MID(Y$46,8,1)="1",1,"")</f>
        <v/>
      </c>
      <c r="Z112" s="14">
        <f>IF(MID(Z$46,8,1)="1",1,"")</f>
        <v/>
      </c>
      <c r="AA112" s="14">
        <f>IF(MID(AA$46,8,1)="1",1,"")</f>
        <v/>
      </c>
      <c r="AB112" s="14">
        <f>IF(MID(AB$46,8,1)="1",1,"")</f>
        <v/>
      </c>
      <c r="AC112" s="14">
        <f>IF(MID(AC$46,8,1)="1",1,"")</f>
        <v/>
      </c>
      <c r="AD112" s="14">
        <f>IF(MID(AD$46,8,1)="1",1,"")</f>
        <v/>
      </c>
      <c r="AE112" s="14">
        <f>IF(MID(AE$46,8,1)="1",1,"")</f>
        <v/>
      </c>
      <c r="AF112" s="14">
        <f>IF(MID(AF$46,8,1)="1",1,"")</f>
        <v/>
      </c>
      <c r="AG112" s="14">
        <f>IF(MID(AG$46,8,1)="1",1,"")</f>
        <v/>
      </c>
      <c r="AH112" s="14">
        <f>IF(MID(AH$46,8,1)="1",1,"")</f>
        <v/>
      </c>
      <c r="AI112" s="14">
        <f>IF(MID(AI$46,8,1)="1",1,"")</f>
        <v/>
      </c>
      <c r="AJ112" s="14">
        <f>IF(MID(AJ$46,8,1)="1",1,"")</f>
        <v/>
      </c>
      <c r="AK112" s="14">
        <f>IF(MID(AK$46,8,1)="1",1,"")</f>
        <v/>
      </c>
    </row>
    <row r="113">
      <c r="B113" t="n">
        <v>57</v>
      </c>
      <c r="C113" s="15" t="inlineStr">
        <is>
          <t>+28V_DRIVE_CUT_OFF</t>
        </is>
      </c>
      <c r="F113" s="9">
        <f>IF(MID(F$46,7,1)="1",1,"")</f>
        <v/>
      </c>
      <c r="G113" s="9">
        <f>IF(MID(G$46,7,1)="1",1,"")</f>
        <v/>
      </c>
      <c r="H113" s="9">
        <f>IF(MID(H$46,7,1)="1",1,"")</f>
        <v/>
      </c>
      <c r="I113" s="9">
        <f>IF(MID(I$46,7,1)="1",1,"")</f>
        <v/>
      </c>
      <c r="J113" s="9">
        <f>IF(MID(J$46,7,1)="1",1,"")</f>
        <v/>
      </c>
      <c r="K113" s="9">
        <f>IF(MID(K$46,7,1)="1",1,"")</f>
        <v/>
      </c>
      <c r="L113" s="9">
        <f>IF(MID(L$46,7,1)="1",1,"")</f>
        <v/>
      </c>
      <c r="M113" s="9">
        <f>IF(MID(M$46,7,1)="1",1,"")</f>
        <v/>
      </c>
      <c r="N113" s="9">
        <f>IF(MID(N$46,7,1)="1",1,"")</f>
        <v/>
      </c>
      <c r="O113" s="9">
        <f>IF(MID(O$46,7,1)="1",1,"")</f>
        <v/>
      </c>
      <c r="P113" s="9">
        <f>IF(MID(P$46,7,1)="1",1,"")</f>
        <v/>
      </c>
      <c r="Q113" s="9">
        <f>IF(MID(Q$46,7,1)="1",1,"")</f>
        <v/>
      </c>
      <c r="R113" s="9">
        <f>IF(MID(R$46,7,1)="1",1,"")</f>
        <v/>
      </c>
      <c r="S113" s="9">
        <f>IF(MID(S$46,7,1)="1",1,"")</f>
        <v/>
      </c>
      <c r="T113" s="9">
        <f>IF(MID(T$46,7,1)="1",1,"")</f>
        <v/>
      </c>
      <c r="U113" s="9">
        <f>IF(MID(U$46,7,1)="1",1,"")</f>
        <v/>
      </c>
      <c r="V113" s="9">
        <f>IF(MID(V$46,7,1)="1",1,"")</f>
        <v/>
      </c>
      <c r="W113" s="9">
        <f>IF(MID(W$46,7,1)="1",1,"")</f>
        <v/>
      </c>
      <c r="X113" s="9">
        <f>IF(MID(X$46,7,1)="1",1,"")</f>
        <v/>
      </c>
      <c r="Y113" s="9">
        <f>IF(MID(Y$46,7,1)="1",1,"")</f>
        <v/>
      </c>
      <c r="Z113" s="9">
        <f>IF(MID(Z$46,7,1)="1",1,"")</f>
        <v/>
      </c>
      <c r="AA113" s="9">
        <f>IF(MID(AA$46,7,1)="1",1,"")</f>
        <v/>
      </c>
      <c r="AB113" s="9">
        <f>IF(MID(AB$46,7,1)="1",1,"")</f>
        <v/>
      </c>
      <c r="AC113" s="9">
        <f>IF(MID(AC$46,7,1)="1",1,"")</f>
        <v/>
      </c>
      <c r="AD113" s="9">
        <f>IF(MID(AD$46,7,1)="1",1,"")</f>
        <v/>
      </c>
      <c r="AE113" s="9">
        <f>IF(MID(AE$46,7,1)="1",1,"")</f>
        <v/>
      </c>
      <c r="AF113" s="9">
        <f>IF(MID(AF$46,7,1)="1",1,"")</f>
        <v/>
      </c>
      <c r="AG113" s="9">
        <f>IF(MID(AG$46,7,1)="1",1,"")</f>
        <v/>
      </c>
      <c r="AH113" s="9">
        <f>IF(MID(AH$46,7,1)="1",1,"")</f>
        <v/>
      </c>
      <c r="AI113" s="9">
        <f>IF(MID(AI$46,7,1)="1",1,"")</f>
        <v/>
      </c>
      <c r="AJ113" s="9">
        <f>IF(MID(AJ$46,7,1)="1",1,"")</f>
        <v/>
      </c>
      <c r="AK113" s="9">
        <f>IF(MID(AK$46,7,1)="1",1,"")</f>
        <v/>
      </c>
    </row>
    <row r="114" customFormat="1" s="7">
      <c r="B114" s="7" t="n">
        <v>58</v>
      </c>
      <c r="C114" s="13" t="inlineStr">
        <is>
          <t>HSS_OPEN_FAIL</t>
        </is>
      </c>
      <c r="F114" s="14">
        <f>IF(MID(F$46,6,1)="1",1,"")</f>
        <v/>
      </c>
      <c r="G114" s="14">
        <f>IF(MID(G$46,6,1)="1",1,"")</f>
        <v/>
      </c>
      <c r="H114" s="14">
        <f>IF(MID(H$46,6,1)="1",1,"")</f>
        <v/>
      </c>
      <c r="I114" s="14">
        <f>IF(MID(I$46,6,1)="1",1,"")</f>
        <v/>
      </c>
      <c r="J114" s="14">
        <f>IF(MID(J$46,6,1)="1",1,"")</f>
        <v/>
      </c>
      <c r="K114" s="14">
        <f>IF(MID(K$46,6,1)="1",1,"")</f>
        <v/>
      </c>
      <c r="L114" s="14">
        <f>IF(MID(L$46,6,1)="1",1,"")</f>
        <v/>
      </c>
      <c r="M114" s="14">
        <f>IF(MID(M$46,6,1)="1",1,"")</f>
        <v/>
      </c>
      <c r="N114" s="14">
        <f>IF(MID(N$46,6,1)="1",1,"")</f>
        <v/>
      </c>
      <c r="O114" s="14">
        <f>IF(MID(O$46,6,1)="1",1,"")</f>
        <v/>
      </c>
      <c r="P114" s="14">
        <f>IF(MID(P$46,6,1)="1",1,"")</f>
        <v/>
      </c>
      <c r="Q114" s="14">
        <f>IF(MID(Q$46,6,1)="1",1,"")</f>
        <v/>
      </c>
      <c r="R114" s="14">
        <f>IF(MID(R$46,6,1)="1",1,"")</f>
        <v/>
      </c>
      <c r="S114" s="14">
        <f>IF(MID(S$46,6,1)="1",1,"")</f>
        <v/>
      </c>
      <c r="T114" s="14">
        <f>IF(MID(T$46,6,1)="1",1,"")</f>
        <v/>
      </c>
      <c r="U114" s="14">
        <f>IF(MID(U$46,6,1)="1",1,"")</f>
        <v/>
      </c>
      <c r="V114" s="14">
        <f>IF(MID(V$46,6,1)="1",1,"")</f>
        <v/>
      </c>
      <c r="W114" s="14">
        <f>IF(MID(W$46,6,1)="1",1,"")</f>
        <v/>
      </c>
      <c r="X114" s="14">
        <f>IF(MID(X$46,6,1)="1",1,"")</f>
        <v/>
      </c>
      <c r="Y114" s="14">
        <f>IF(MID(Y$46,6,1)="1",1,"")</f>
        <v/>
      </c>
      <c r="Z114" s="14">
        <f>IF(MID(Z$46,6,1)="1",1,"")</f>
        <v/>
      </c>
      <c r="AA114" s="14">
        <f>IF(MID(AA$46,6,1)="1",1,"")</f>
        <v/>
      </c>
      <c r="AB114" s="14">
        <f>IF(MID(AB$46,6,1)="1",1,"")</f>
        <v/>
      </c>
      <c r="AC114" s="14">
        <f>IF(MID(AC$46,6,1)="1",1,"")</f>
        <v/>
      </c>
      <c r="AD114" s="14">
        <f>IF(MID(AD$46,6,1)="1",1,"")</f>
        <v/>
      </c>
      <c r="AE114" s="14">
        <f>IF(MID(AE$46,6,1)="1",1,"")</f>
        <v/>
      </c>
      <c r="AF114" s="14">
        <f>IF(MID(AF$46,6,1)="1",1,"")</f>
        <v/>
      </c>
      <c r="AG114" s="14">
        <f>IF(MID(AG$46,6,1)="1",1,"")</f>
        <v/>
      </c>
      <c r="AH114" s="14">
        <f>IF(MID(AH$46,6,1)="1",1,"")</f>
        <v/>
      </c>
      <c r="AI114" s="14">
        <f>IF(MID(AI$46,6,1)="1",1,"")</f>
        <v/>
      </c>
      <c r="AJ114" s="14">
        <f>IF(MID(AJ$46,6,1)="1",1,"")</f>
        <v/>
      </c>
      <c r="AK114" s="14">
        <f>IF(MID(AK$46,6,1)="1",1,"")</f>
        <v/>
      </c>
    </row>
    <row r="115">
      <c r="B115" t="n">
        <v>59</v>
      </c>
      <c r="C115" s="15" t="inlineStr">
        <is>
          <t>HSS_SHORT_FAIL</t>
        </is>
      </c>
      <c r="F115" s="9">
        <f>IF(MID(F$46,5,1)="1",1,"")</f>
        <v/>
      </c>
      <c r="G115" s="9">
        <f>IF(MID(G$46,5,1)="1",1,"")</f>
        <v/>
      </c>
      <c r="H115" s="9">
        <f>IF(MID(H$46,5,1)="1",1,"")</f>
        <v/>
      </c>
      <c r="I115" s="9">
        <f>IF(MID(I$46,5,1)="1",1,"")</f>
        <v/>
      </c>
      <c r="J115" s="9">
        <f>IF(MID(J$46,5,1)="1",1,"")</f>
        <v/>
      </c>
      <c r="K115" s="9">
        <f>IF(MID(K$46,5,1)="1",1,"")</f>
        <v/>
      </c>
      <c r="L115" s="9">
        <f>IF(MID(L$46,5,1)="1",1,"")</f>
        <v/>
      </c>
      <c r="M115" s="9">
        <f>IF(MID(M$46,5,1)="1",1,"")</f>
        <v/>
      </c>
      <c r="N115" s="9">
        <f>IF(MID(N$46,5,1)="1",1,"")</f>
        <v/>
      </c>
      <c r="O115" s="9">
        <f>IF(MID(O$46,5,1)="1",1,"")</f>
        <v/>
      </c>
      <c r="P115" s="9">
        <f>IF(MID(P$46,5,1)="1",1,"")</f>
        <v/>
      </c>
      <c r="Q115" s="9">
        <f>IF(MID(Q$46,5,1)="1",1,"")</f>
        <v/>
      </c>
      <c r="R115" s="9">
        <f>IF(MID(R$46,5,1)="1",1,"")</f>
        <v/>
      </c>
      <c r="S115" s="9">
        <f>IF(MID(S$46,5,1)="1",1,"")</f>
        <v/>
      </c>
      <c r="T115" s="9">
        <f>IF(MID(T$46,5,1)="1",1,"")</f>
        <v/>
      </c>
      <c r="U115" s="9">
        <f>IF(MID(U$46,5,1)="1",1,"")</f>
        <v/>
      </c>
      <c r="V115" s="9">
        <f>IF(MID(V$46,5,1)="1",1,"")</f>
        <v/>
      </c>
      <c r="W115" s="9">
        <f>IF(MID(W$46,5,1)="1",1,"")</f>
        <v/>
      </c>
      <c r="X115" s="9">
        <f>IF(MID(X$46,5,1)="1",1,"")</f>
        <v/>
      </c>
      <c r="Y115" s="9">
        <f>IF(MID(Y$46,5,1)="1",1,"")</f>
        <v/>
      </c>
      <c r="Z115" s="9">
        <f>IF(MID(Z$46,5,1)="1",1,"")</f>
        <v/>
      </c>
      <c r="AA115" s="9">
        <f>IF(MID(AA$46,5,1)="1",1,"")</f>
        <v/>
      </c>
      <c r="AB115" s="9">
        <f>IF(MID(AB$46,5,1)="1",1,"")</f>
        <v/>
      </c>
      <c r="AC115" s="9">
        <f>IF(MID(AC$46,5,1)="1",1,"")</f>
        <v/>
      </c>
      <c r="AD115" s="9">
        <f>IF(MID(AD$46,5,1)="1",1,"")</f>
        <v/>
      </c>
      <c r="AE115" s="9">
        <f>IF(MID(AE$46,5,1)="1",1,"")</f>
        <v/>
      </c>
      <c r="AF115" s="9">
        <f>IF(MID(AF$46,5,1)="1",1,"")</f>
        <v/>
      </c>
      <c r="AG115" s="9">
        <f>IF(MID(AG$46,5,1)="1",1,"")</f>
        <v/>
      </c>
      <c r="AH115" s="9">
        <f>IF(MID(AH$46,5,1)="1",1,"")</f>
        <v/>
      </c>
      <c r="AI115" s="9">
        <f>IF(MID(AI$46,5,1)="1",1,"")</f>
        <v/>
      </c>
      <c r="AJ115" s="9">
        <f>IF(MID(AJ$46,5,1)="1",1,"")</f>
        <v/>
      </c>
      <c r="AK115" s="9">
        <f>IF(MID(AK$46,5,1)="1",1,"")</f>
        <v/>
      </c>
    </row>
    <row r="116" customFormat="1" s="7">
      <c r="B116" s="7" t="n">
        <v>60</v>
      </c>
      <c r="C116" s="13" t="inlineStr">
        <is>
          <t>SLEW_RATE_OPEN_FAIL</t>
        </is>
      </c>
      <c r="F116" s="14">
        <f>IF(MID(F$46,4,1)="1",1,"")</f>
        <v/>
      </c>
      <c r="G116" s="14">
        <f>IF(MID(G$46,4,1)="1",1,"")</f>
        <v/>
      </c>
      <c r="H116" s="14">
        <f>IF(MID(H$46,4,1)="1",1,"")</f>
        <v/>
      </c>
      <c r="I116" s="14">
        <f>IF(MID(I$46,4,1)="1",1,"")</f>
        <v/>
      </c>
      <c r="J116" s="14">
        <f>IF(MID(J$46,4,1)="1",1,"")</f>
        <v/>
      </c>
      <c r="K116" s="14">
        <f>IF(MID(K$46,4,1)="1",1,"")</f>
        <v/>
      </c>
      <c r="L116" s="14">
        <f>IF(MID(L$46,4,1)="1",1,"")</f>
        <v/>
      </c>
      <c r="M116" s="14">
        <f>IF(MID(M$46,4,1)="1",1,"")</f>
        <v/>
      </c>
      <c r="N116" s="14">
        <f>IF(MID(N$46,4,1)="1",1,"")</f>
        <v/>
      </c>
      <c r="O116" s="14">
        <f>IF(MID(O$46,4,1)="1",1,"")</f>
        <v/>
      </c>
      <c r="P116" s="14">
        <f>IF(MID(P$46,4,1)="1",1,"")</f>
        <v/>
      </c>
      <c r="Q116" s="14">
        <f>IF(MID(Q$46,4,1)="1",1,"")</f>
        <v/>
      </c>
      <c r="R116" s="14">
        <f>IF(MID(R$46,4,1)="1",1,"")</f>
        <v/>
      </c>
      <c r="S116" s="14">
        <f>IF(MID(S$46,4,1)="1",1,"")</f>
        <v/>
      </c>
      <c r="T116" s="14">
        <f>IF(MID(T$46,4,1)="1",1,"")</f>
        <v/>
      </c>
      <c r="U116" s="14">
        <f>IF(MID(U$46,4,1)="1",1,"")</f>
        <v/>
      </c>
      <c r="V116" s="14">
        <f>IF(MID(V$46,4,1)="1",1,"")</f>
        <v/>
      </c>
      <c r="W116" s="14">
        <f>IF(MID(W$46,4,1)="1",1,"")</f>
        <v/>
      </c>
      <c r="X116" s="14">
        <f>IF(MID(X$46,4,1)="1",1,"")</f>
        <v/>
      </c>
      <c r="Y116" s="14">
        <f>IF(MID(Y$46,4,1)="1",1,"")</f>
        <v/>
      </c>
      <c r="Z116" s="14">
        <f>IF(MID(Z$46,4,1)="1",1,"")</f>
        <v/>
      </c>
      <c r="AA116" s="14">
        <f>IF(MID(AA$46,4,1)="1",1,"")</f>
        <v/>
      </c>
      <c r="AB116" s="14">
        <f>IF(MID(AB$46,4,1)="1",1,"")</f>
        <v/>
      </c>
      <c r="AC116" s="14">
        <f>IF(MID(AC$46,4,1)="1",1,"")</f>
        <v/>
      </c>
      <c r="AD116" s="14">
        <f>IF(MID(AD$46,4,1)="1",1,"")</f>
        <v/>
      </c>
      <c r="AE116" s="14">
        <f>IF(MID(AE$46,4,1)="1",1,"")</f>
        <v/>
      </c>
      <c r="AF116" s="14">
        <f>IF(MID(AF$46,4,1)="1",1,"")</f>
        <v/>
      </c>
      <c r="AG116" s="14">
        <f>IF(MID(AG$46,4,1)="1",1,"")</f>
        <v/>
      </c>
      <c r="AH116" s="14">
        <f>IF(MID(AH$46,4,1)="1",1,"")</f>
        <v/>
      </c>
      <c r="AI116" s="14">
        <f>IF(MID(AI$46,4,1)="1",1,"")</f>
        <v/>
      </c>
      <c r="AJ116" s="14">
        <f>IF(MID(AJ$46,4,1)="1",1,"")</f>
        <v/>
      </c>
      <c r="AK116" s="14">
        <f>IF(MID(AK$46,4,1)="1",1,"")</f>
        <v/>
      </c>
    </row>
    <row r="117">
      <c r="B117" t="n">
        <v>61</v>
      </c>
      <c r="C117" s="15" t="inlineStr">
        <is>
          <t>PC_SENSOR_FAIL</t>
        </is>
      </c>
      <c r="F117" s="9">
        <f>IF(MID(F$46,3,1)="1",1,"")</f>
        <v/>
      </c>
      <c r="G117" s="9">
        <f>IF(MID(G$46,3,1)="1",1,"")</f>
        <v/>
      </c>
      <c r="H117" s="9">
        <f>IF(MID(H$46,3,1)="1",1,"")</f>
        <v/>
      </c>
      <c r="I117" s="9">
        <f>IF(MID(I$46,3,1)="1",1,"")</f>
        <v/>
      </c>
      <c r="J117" s="9">
        <f>IF(MID(J$46,3,1)="1",1,"")</f>
        <v/>
      </c>
      <c r="K117" s="9">
        <f>IF(MID(K$46,3,1)="1",1,"")</f>
        <v/>
      </c>
      <c r="L117" s="9">
        <f>IF(MID(L$46,3,1)="1",1,"")</f>
        <v/>
      </c>
      <c r="M117" s="9">
        <f>IF(MID(M$46,3,1)="1",1,"")</f>
        <v/>
      </c>
      <c r="N117" s="9">
        <f>IF(MID(N$46,3,1)="1",1,"")</f>
        <v/>
      </c>
      <c r="O117" s="9">
        <f>IF(MID(O$46,3,1)="1",1,"")</f>
        <v/>
      </c>
      <c r="P117" s="9">
        <f>IF(MID(P$46,3,1)="1",1,"")</f>
        <v/>
      </c>
      <c r="Q117" s="9">
        <f>IF(MID(Q$46,3,1)="1",1,"")</f>
        <v/>
      </c>
      <c r="R117" s="9">
        <f>IF(MID(R$46,3,1)="1",1,"")</f>
        <v/>
      </c>
      <c r="S117" s="9">
        <f>IF(MID(S$46,3,1)="1",1,"")</f>
        <v/>
      </c>
      <c r="T117" s="9">
        <f>IF(MID(T$46,3,1)="1",1,"")</f>
        <v/>
      </c>
      <c r="U117" s="9">
        <f>IF(MID(U$46,3,1)="1",1,"")</f>
        <v/>
      </c>
      <c r="V117" s="9">
        <f>IF(MID(V$46,3,1)="1",1,"")</f>
        <v/>
      </c>
      <c r="W117" s="9">
        <f>IF(MID(W$46,3,1)="1",1,"")</f>
        <v/>
      </c>
      <c r="X117" s="9">
        <f>IF(MID(X$46,3,1)="1",1,"")</f>
        <v/>
      </c>
      <c r="Y117" s="9">
        <f>IF(MID(Y$46,3,1)="1",1,"")</f>
        <v/>
      </c>
      <c r="Z117" s="9">
        <f>IF(MID(Z$46,3,1)="1",1,"")</f>
        <v/>
      </c>
      <c r="AA117" s="9">
        <f>IF(MID(AA$46,3,1)="1",1,"")</f>
        <v/>
      </c>
      <c r="AB117" s="9">
        <f>IF(MID(AB$46,3,1)="1",1,"")</f>
        <v/>
      </c>
      <c r="AC117" s="9">
        <f>IF(MID(AC$46,3,1)="1",1,"")</f>
        <v/>
      </c>
      <c r="AD117" s="9">
        <f>IF(MID(AD$46,3,1)="1",1,"")</f>
        <v/>
      </c>
      <c r="AE117" s="9">
        <f>IF(MID(AE$46,3,1)="1",1,"")</f>
        <v/>
      </c>
      <c r="AF117" s="9">
        <f>IF(MID(AF$46,3,1)="1",1,"")</f>
        <v/>
      </c>
      <c r="AG117" s="9">
        <f>IF(MID(AG$46,3,1)="1",1,"")</f>
        <v/>
      </c>
      <c r="AH117" s="9">
        <f>IF(MID(AH$46,3,1)="1",1,"")</f>
        <v/>
      </c>
      <c r="AI117" s="9">
        <f>IF(MID(AI$46,3,1)="1",1,"")</f>
        <v/>
      </c>
      <c r="AJ117" s="9">
        <f>IF(MID(AJ$46,3,1)="1",1,"")</f>
        <v/>
      </c>
      <c r="AK117" s="9">
        <f>IF(MID(AK$46,3,1)="1",1,"")</f>
        <v/>
      </c>
    </row>
    <row r="118" customFormat="1" s="7">
      <c r="B118" s="7" t="n">
        <v>62</v>
      </c>
      <c r="C118" s="13" t="inlineStr">
        <is>
          <t>SCBIT_OPEN_FAIL</t>
        </is>
      </c>
      <c r="F118" s="14">
        <f>IF(MID(F$46,2,1)="1",1,"")</f>
        <v/>
      </c>
      <c r="G118" s="14">
        <f>IF(MID(G$46,2,1)="1",1,"")</f>
        <v/>
      </c>
      <c r="H118" s="14">
        <f>IF(MID(H$46,2,1)="1",1,"")</f>
        <v/>
      </c>
      <c r="I118" s="14">
        <f>IF(MID(I$46,2,1)="1",1,"")</f>
        <v/>
      </c>
      <c r="J118" s="14">
        <f>IF(MID(J$46,2,1)="1",1,"")</f>
        <v/>
      </c>
      <c r="K118" s="14">
        <f>IF(MID(K$46,2,1)="1",1,"")</f>
        <v/>
      </c>
      <c r="L118" s="14">
        <f>IF(MID(L$46,2,1)="1",1,"")</f>
        <v/>
      </c>
      <c r="M118" s="14">
        <f>IF(MID(M$46,2,1)="1",1,"")</f>
        <v/>
      </c>
      <c r="N118" s="14">
        <f>IF(MID(N$46,2,1)="1",1,"")</f>
        <v/>
      </c>
      <c r="O118" s="14">
        <f>IF(MID(O$46,2,1)="1",1,"")</f>
        <v/>
      </c>
      <c r="P118" s="14">
        <f>IF(MID(P$46,2,1)="1",1,"")</f>
        <v/>
      </c>
      <c r="Q118" s="14">
        <f>IF(MID(Q$46,2,1)="1",1,"")</f>
        <v/>
      </c>
      <c r="R118" s="14">
        <f>IF(MID(R$46,2,1)="1",1,"")</f>
        <v/>
      </c>
      <c r="S118" s="14">
        <f>IF(MID(S$46,2,1)="1",1,"")</f>
        <v/>
      </c>
      <c r="T118" s="14">
        <f>IF(MID(T$46,2,1)="1",1,"")</f>
        <v/>
      </c>
      <c r="U118" s="14">
        <f>IF(MID(U$46,2,1)="1",1,"")</f>
        <v/>
      </c>
      <c r="V118" s="14">
        <f>IF(MID(V$46,2,1)="1",1,"")</f>
        <v/>
      </c>
      <c r="W118" s="14">
        <f>IF(MID(W$46,2,1)="1",1,"")</f>
        <v/>
      </c>
      <c r="X118" s="14">
        <f>IF(MID(X$46,2,1)="1",1,"")</f>
        <v/>
      </c>
      <c r="Y118" s="14">
        <f>IF(MID(Y$46,2,1)="1",1,"")</f>
        <v/>
      </c>
      <c r="Z118" s="14">
        <f>IF(MID(Z$46,2,1)="1",1,"")</f>
        <v/>
      </c>
      <c r="AA118" s="14">
        <f>IF(MID(AA$46,2,1)="1",1,"")</f>
        <v/>
      </c>
      <c r="AB118" s="14">
        <f>IF(MID(AB$46,2,1)="1",1,"")</f>
        <v/>
      </c>
      <c r="AC118" s="14">
        <f>IF(MID(AC$46,2,1)="1",1,"")</f>
        <v/>
      </c>
      <c r="AD118" s="14">
        <f>IF(MID(AD$46,2,1)="1",1,"")</f>
        <v/>
      </c>
      <c r="AE118" s="14">
        <f>IF(MID(AE$46,2,1)="1",1,"")</f>
        <v/>
      </c>
      <c r="AF118" s="14">
        <f>IF(MID(AF$46,2,1)="1",1,"")</f>
        <v/>
      </c>
      <c r="AG118" s="14">
        <f>IF(MID(AG$46,2,1)="1",1,"")</f>
        <v/>
      </c>
      <c r="AH118" s="14">
        <f>IF(MID(AH$46,2,1)="1",1,"")</f>
        <v/>
      </c>
      <c r="AI118" s="14">
        <f>IF(MID(AI$46,2,1)="1",1,"")</f>
        <v/>
      </c>
      <c r="AJ118" s="14">
        <f>IF(MID(AJ$46,2,1)="1",1,"")</f>
        <v/>
      </c>
      <c r="AK118" s="14">
        <f>IF(MID(AK$46,2,1)="1",1,"")</f>
        <v/>
      </c>
    </row>
    <row r="119">
      <c r="B119" t="n">
        <v>63</v>
      </c>
      <c r="C119" s="15" t="inlineStr">
        <is>
          <t>SCBIT_CLOSE_FAIL</t>
        </is>
      </c>
      <c r="F119" s="9">
        <f>IF(MID(F$46,1,1)="1",1,"")</f>
        <v/>
      </c>
      <c r="G119" s="9">
        <f>IF(MID(G$46,1,1)="1",1,"")</f>
        <v/>
      </c>
      <c r="H119" s="9">
        <f>IF(MID(H$46,1,1)="1",1,"")</f>
        <v/>
      </c>
      <c r="I119" s="9">
        <f>IF(MID(I$46,1,1)="1",1,"")</f>
        <v/>
      </c>
      <c r="J119" s="9">
        <f>IF(MID(J$46,1,1)="1",1,"")</f>
        <v/>
      </c>
      <c r="K119" s="9">
        <f>IF(MID(K$46,1,1)="1",1,"")</f>
        <v/>
      </c>
      <c r="L119" s="9">
        <f>IF(MID(L$46,1,1)="1",1,"")</f>
        <v/>
      </c>
      <c r="M119" s="9">
        <f>IF(MID(M$46,1,1)="1",1,"")</f>
        <v/>
      </c>
      <c r="N119" s="9">
        <f>IF(MID(N$46,1,1)="1",1,"")</f>
        <v/>
      </c>
      <c r="O119" s="9">
        <f>IF(MID(O$46,1,1)="1",1,"")</f>
        <v/>
      </c>
      <c r="P119" s="9">
        <f>IF(MID(P$46,1,1)="1",1,"")</f>
        <v/>
      </c>
      <c r="Q119" s="9">
        <f>IF(MID(Q$46,1,1)="1",1,"")</f>
        <v/>
      </c>
      <c r="R119" s="9">
        <f>IF(MID(R$46,1,1)="1",1,"")</f>
        <v/>
      </c>
      <c r="S119" s="9">
        <f>IF(MID(S$46,1,1)="1",1,"")</f>
        <v/>
      </c>
      <c r="T119" s="9">
        <f>IF(MID(T$46,1,1)="1",1,"")</f>
        <v/>
      </c>
      <c r="U119" s="9">
        <f>IF(MID(U$46,1,1)="1",1,"")</f>
        <v/>
      </c>
      <c r="V119" s="9">
        <f>IF(MID(V$46,1,1)="1",1,"")</f>
        <v/>
      </c>
      <c r="W119" s="9">
        <f>IF(MID(W$46,1,1)="1",1,"")</f>
        <v/>
      </c>
      <c r="X119" s="9">
        <f>IF(MID(X$46,1,1)="1",1,"")</f>
        <v/>
      </c>
      <c r="Y119" s="9">
        <f>IF(MID(Y$46,1,1)="1",1,"")</f>
        <v/>
      </c>
      <c r="Z119" s="9">
        <f>IF(MID(Z$46,1,1)="1",1,"")</f>
        <v/>
      </c>
      <c r="AA119" s="9">
        <f>IF(MID(AA$46,1,1)="1",1,"")</f>
        <v/>
      </c>
      <c r="AB119" s="9">
        <f>IF(MID(AB$46,1,1)="1",1,"")</f>
        <v/>
      </c>
      <c r="AC119" s="9">
        <f>IF(MID(AC$46,1,1)="1",1,"")</f>
        <v/>
      </c>
      <c r="AD119" s="9">
        <f>IF(MID(AD$46,1,1)="1",1,"")</f>
        <v/>
      </c>
      <c r="AE119" s="9">
        <f>IF(MID(AE$46,1,1)="1",1,"")</f>
        <v/>
      </c>
      <c r="AF119" s="9">
        <f>IF(MID(AF$46,1,1)="1",1,"")</f>
        <v/>
      </c>
      <c r="AG119" s="9">
        <f>IF(MID(AG$46,1,1)="1",1,"")</f>
        <v/>
      </c>
      <c r="AH119" s="9">
        <f>IF(MID(AH$46,1,1)="1",1,"")</f>
        <v/>
      </c>
      <c r="AI119" s="9">
        <f>IF(MID(AI$46,1,1)="1",1,"")</f>
        <v/>
      </c>
      <c r="AJ119" s="9">
        <f>IF(MID(AJ$46,1,1)="1",1,"")</f>
        <v/>
      </c>
      <c r="AK119" s="9">
        <f>IF(MID(AK$46,1,1)="1",1,"")</f>
        <v/>
      </c>
    </row>
    <row r="120" customFormat="1" s="7">
      <c r="B120" s="7" t="n">
        <v>64</v>
      </c>
      <c r="C120" s="13" t="inlineStr">
        <is>
          <t>OFV_RAM_FAIL_RAM</t>
        </is>
      </c>
      <c r="F120" s="14">
        <f>IF(MID(F$47,8,1)="1",1,"")</f>
        <v/>
      </c>
      <c r="G120" s="14">
        <f>IF(MID(G$47,8,1)="1",1,"")</f>
        <v/>
      </c>
      <c r="H120" s="14">
        <f>IF(MID(H$47,8,1)="1",1,"")</f>
        <v/>
      </c>
      <c r="I120" s="14">
        <f>IF(MID(I$47,8,1)="1",1,"")</f>
        <v/>
      </c>
      <c r="J120" s="14">
        <f>IF(MID(J$47,8,1)="1",1,"")</f>
        <v/>
      </c>
      <c r="K120" s="14">
        <f>IF(MID(K$47,8,1)="1",1,"")</f>
        <v/>
      </c>
      <c r="L120" s="14">
        <f>IF(MID(L$47,8,1)="1",1,"")</f>
        <v/>
      </c>
      <c r="M120" s="14">
        <f>IF(MID(M$47,8,1)="1",1,"")</f>
        <v/>
      </c>
      <c r="N120" s="14">
        <f>IF(MID(N$47,8,1)="1",1,"")</f>
        <v/>
      </c>
      <c r="O120" s="14">
        <f>IF(MID(O$47,8,1)="1",1,"")</f>
        <v/>
      </c>
      <c r="P120" s="14">
        <f>IF(MID(P$47,8,1)="1",1,"")</f>
        <v/>
      </c>
      <c r="Q120" s="14">
        <f>IF(MID(Q$47,8,1)="1",1,"")</f>
        <v/>
      </c>
      <c r="R120" s="14">
        <f>IF(MID(R$47,8,1)="1",1,"")</f>
        <v/>
      </c>
      <c r="S120" s="14">
        <f>IF(MID(S$47,8,1)="1",1,"")</f>
        <v/>
      </c>
      <c r="T120" s="14">
        <f>IF(MID(T$47,8,1)="1",1,"")</f>
        <v/>
      </c>
      <c r="U120" s="14">
        <f>IF(MID(U$47,8,1)="1",1,"")</f>
        <v/>
      </c>
      <c r="V120" s="14">
        <f>IF(MID(V$47,8,1)="1",1,"")</f>
        <v/>
      </c>
      <c r="W120" s="14">
        <f>IF(MID(W$47,8,1)="1",1,"")</f>
        <v/>
      </c>
      <c r="X120" s="14">
        <f>IF(MID(X$47,8,1)="1",1,"")</f>
        <v/>
      </c>
      <c r="Y120" s="14">
        <f>IF(MID(Y$47,8,1)="1",1,"")</f>
        <v/>
      </c>
      <c r="Z120" s="14">
        <f>IF(MID(Z$47,8,1)="1",1,"")</f>
        <v/>
      </c>
      <c r="AA120" s="14">
        <f>IF(MID(AA$47,8,1)="1",1,"")</f>
        <v/>
      </c>
      <c r="AB120" s="14">
        <f>IF(MID(AB$47,8,1)="1",1,"")</f>
        <v/>
      </c>
      <c r="AC120" s="14">
        <f>IF(MID(AC$47,8,1)="1",1,"")</f>
        <v/>
      </c>
      <c r="AD120" s="14">
        <f>IF(MID(AD$47,8,1)="1",1,"")</f>
        <v/>
      </c>
      <c r="AE120" s="14">
        <f>IF(MID(AE$47,8,1)="1",1,"")</f>
        <v/>
      </c>
      <c r="AF120" s="14">
        <f>IF(MID(AF$47,8,1)="1",1,"")</f>
        <v/>
      </c>
      <c r="AG120" s="14">
        <f>IF(MID(AG$47,8,1)="1",1,"")</f>
        <v/>
      </c>
      <c r="AH120" s="14">
        <f>IF(MID(AH$47,8,1)="1",1,"")</f>
        <v/>
      </c>
      <c r="AI120" s="14">
        <f>IF(MID(AI$47,8,1)="1",1,"")</f>
        <v/>
      </c>
      <c r="AJ120" s="14">
        <f>IF(MID(AJ$47,8,1)="1",1,"")</f>
        <v/>
      </c>
      <c r="AK120" s="14">
        <f>IF(MID(AK$47,8,1)="1",1,"")</f>
        <v/>
      </c>
    </row>
    <row r="121">
      <c r="B121" t="n">
        <v>65</v>
      </c>
      <c r="C121" s="15" t="inlineStr">
        <is>
          <t>OFV_RAM_FAIL_REG</t>
        </is>
      </c>
      <c r="F121" s="9">
        <f>IF(MID(F$47,7,1)="1",1,"")</f>
        <v/>
      </c>
      <c r="G121" s="9">
        <f>IF(MID(G$47,7,1)="1",1,"")</f>
        <v/>
      </c>
      <c r="H121" s="9">
        <f>IF(MID(H$47,7,1)="1",1,"")</f>
        <v/>
      </c>
      <c r="I121" s="9">
        <f>IF(MID(I$47,7,1)="1",1,"")</f>
        <v/>
      </c>
      <c r="J121" s="9">
        <f>IF(MID(J$47,7,1)="1",1,"")</f>
        <v/>
      </c>
      <c r="K121" s="9">
        <f>IF(MID(K$47,7,1)="1",1,"")</f>
        <v/>
      </c>
      <c r="L121" s="9">
        <f>IF(MID(L$47,7,1)="1",1,"")</f>
        <v/>
      </c>
      <c r="M121" s="9">
        <f>IF(MID(M$47,7,1)="1",1,"")</f>
        <v/>
      </c>
      <c r="N121" s="9">
        <f>IF(MID(N$47,7,1)="1",1,"")</f>
        <v/>
      </c>
      <c r="O121" s="9">
        <f>IF(MID(O$47,7,1)="1",1,"")</f>
        <v/>
      </c>
      <c r="P121" s="9">
        <f>IF(MID(P$47,7,1)="1",1,"")</f>
        <v/>
      </c>
      <c r="Q121" s="9">
        <f>IF(MID(Q$47,7,1)="1",1,"")</f>
        <v/>
      </c>
      <c r="R121" s="9">
        <f>IF(MID(R$47,7,1)="1",1,"")</f>
        <v/>
      </c>
      <c r="S121" s="9">
        <f>IF(MID(S$47,7,1)="1",1,"")</f>
        <v/>
      </c>
      <c r="T121" s="9">
        <f>IF(MID(T$47,7,1)="1",1,"")</f>
        <v/>
      </c>
      <c r="U121" s="9">
        <f>IF(MID(U$47,7,1)="1",1,"")</f>
        <v/>
      </c>
      <c r="V121" s="9">
        <f>IF(MID(V$47,7,1)="1",1,"")</f>
        <v/>
      </c>
      <c r="W121" s="9">
        <f>IF(MID(W$47,7,1)="1",1,"")</f>
        <v/>
      </c>
      <c r="X121" s="9">
        <f>IF(MID(X$47,7,1)="1",1,"")</f>
        <v/>
      </c>
      <c r="Y121" s="9">
        <f>IF(MID(Y$47,7,1)="1",1,"")</f>
        <v/>
      </c>
      <c r="Z121" s="9">
        <f>IF(MID(Z$47,7,1)="1",1,"")</f>
        <v/>
      </c>
      <c r="AA121" s="9">
        <f>IF(MID(AA$47,7,1)="1",1,"")</f>
        <v/>
      </c>
      <c r="AB121" s="9">
        <f>IF(MID(AB$47,7,1)="1",1,"")</f>
        <v/>
      </c>
      <c r="AC121" s="9">
        <f>IF(MID(AC$47,7,1)="1",1,"")</f>
        <v/>
      </c>
      <c r="AD121" s="9">
        <f>IF(MID(AD$47,7,1)="1",1,"")</f>
        <v/>
      </c>
      <c r="AE121" s="9">
        <f>IF(MID(AE$47,7,1)="1",1,"")</f>
        <v/>
      </c>
      <c r="AF121" s="9">
        <f>IF(MID(AF$47,7,1)="1",1,"")</f>
        <v/>
      </c>
      <c r="AG121" s="9">
        <f>IF(MID(AG$47,7,1)="1",1,"")</f>
        <v/>
      </c>
      <c r="AH121" s="9">
        <f>IF(MID(AH$47,7,1)="1",1,"")</f>
        <v/>
      </c>
      <c r="AI121" s="9">
        <f>IF(MID(AI$47,7,1)="1",1,"")</f>
        <v/>
      </c>
      <c r="AJ121" s="9">
        <f>IF(MID(AJ$47,7,1)="1",1,"")</f>
        <v/>
      </c>
      <c r="AK121" s="9">
        <f>IF(MID(AK$47,7,1)="1",1,"")</f>
        <v/>
      </c>
    </row>
    <row r="122" customFormat="1" s="7">
      <c r="B122" s="7" t="n">
        <v>66</v>
      </c>
      <c r="C122" s="13" t="inlineStr">
        <is>
          <t>OFV_INIT_RAM_FAIL_REG</t>
        </is>
      </c>
      <c r="F122" s="14">
        <f>IF(MID(F$47,6,1)="1",1,"")</f>
        <v/>
      </c>
      <c r="G122" s="14">
        <f>IF(MID(G$47,6,1)="1",1,"")</f>
        <v/>
      </c>
      <c r="H122" s="14">
        <f>IF(MID(H$47,6,1)="1",1,"")</f>
        <v/>
      </c>
      <c r="I122" s="14">
        <f>IF(MID(I$47,6,1)="1",1,"")</f>
        <v/>
      </c>
      <c r="J122" s="14">
        <f>IF(MID(J$47,6,1)="1",1,"")</f>
        <v/>
      </c>
      <c r="K122" s="14">
        <f>IF(MID(K$47,6,1)="1",1,"")</f>
        <v/>
      </c>
      <c r="L122" s="14">
        <f>IF(MID(L$47,6,1)="1",1,"")</f>
        <v/>
      </c>
      <c r="M122" s="14">
        <f>IF(MID(M$47,6,1)="1",1,"")</f>
        <v/>
      </c>
      <c r="N122" s="14">
        <f>IF(MID(N$47,6,1)="1",1,"")</f>
        <v/>
      </c>
      <c r="O122" s="14">
        <f>IF(MID(O$47,6,1)="1",1,"")</f>
        <v/>
      </c>
      <c r="P122" s="14">
        <f>IF(MID(P$47,6,1)="1",1,"")</f>
        <v/>
      </c>
      <c r="Q122" s="14">
        <f>IF(MID(Q$47,6,1)="1",1,"")</f>
        <v/>
      </c>
      <c r="R122" s="14">
        <f>IF(MID(R$47,6,1)="1",1,"")</f>
        <v/>
      </c>
      <c r="S122" s="14">
        <f>IF(MID(S$47,6,1)="1",1,"")</f>
        <v/>
      </c>
      <c r="T122" s="14">
        <f>IF(MID(T$47,6,1)="1",1,"")</f>
        <v/>
      </c>
      <c r="U122" s="14">
        <f>IF(MID(U$47,6,1)="1",1,"")</f>
        <v/>
      </c>
      <c r="V122" s="14">
        <f>IF(MID(V$47,6,1)="1",1,"")</f>
        <v/>
      </c>
      <c r="W122" s="14">
        <f>IF(MID(W$47,6,1)="1",1,"")</f>
        <v/>
      </c>
      <c r="X122" s="14">
        <f>IF(MID(X$47,6,1)="1",1,"")</f>
        <v/>
      </c>
      <c r="Y122" s="14">
        <f>IF(MID(Y$47,6,1)="1",1,"")</f>
        <v/>
      </c>
      <c r="Z122" s="14">
        <f>IF(MID(Z$47,6,1)="1",1,"")</f>
        <v/>
      </c>
      <c r="AA122" s="14">
        <f>IF(MID(AA$47,6,1)="1",1,"")</f>
        <v/>
      </c>
      <c r="AB122" s="14">
        <f>IF(MID(AB$47,6,1)="1",1,"")</f>
        <v/>
      </c>
      <c r="AC122" s="14">
        <f>IF(MID(AC$47,6,1)="1",1,"")</f>
        <v/>
      </c>
      <c r="AD122" s="14">
        <f>IF(MID(AD$47,6,1)="1",1,"")</f>
        <v/>
      </c>
      <c r="AE122" s="14">
        <f>IF(MID(AE$47,6,1)="1",1,"")</f>
        <v/>
      </c>
      <c r="AF122" s="14">
        <f>IF(MID(AF$47,6,1)="1",1,"")</f>
        <v/>
      </c>
      <c r="AG122" s="14">
        <f>IF(MID(AG$47,6,1)="1",1,"")</f>
        <v/>
      </c>
      <c r="AH122" s="14">
        <f>IF(MID(AH$47,6,1)="1",1,"")</f>
        <v/>
      </c>
      <c r="AI122" s="14">
        <f>IF(MID(AI$47,6,1)="1",1,"")</f>
        <v/>
      </c>
      <c r="AJ122" s="14">
        <f>IF(MID(AJ$47,6,1)="1",1,"")</f>
        <v/>
      </c>
      <c r="AK122" s="14">
        <f>IF(MID(AK$47,6,1)="1",1,"")</f>
        <v/>
      </c>
    </row>
    <row r="123">
      <c r="B123" t="n">
        <v>67</v>
      </c>
      <c r="C123" s="15" t="inlineStr">
        <is>
          <t>OFV_INIT_RAM_FAIL_RAM</t>
        </is>
      </c>
      <c r="F123" s="9">
        <f>IF(MID(F$47,5,1)="1",1,"")</f>
        <v/>
      </c>
      <c r="G123" s="9">
        <f>IF(MID(G$47,5,1)="1",1,"")</f>
        <v/>
      </c>
      <c r="H123" s="9">
        <f>IF(MID(H$47,5,1)="1",1,"")</f>
        <v/>
      </c>
      <c r="I123" s="9">
        <f>IF(MID(I$47,5,1)="1",1,"")</f>
        <v/>
      </c>
      <c r="J123" s="9">
        <f>IF(MID(J$47,5,1)="1",1,"")</f>
        <v/>
      </c>
      <c r="K123" s="9">
        <f>IF(MID(K$47,5,1)="1",1,"")</f>
        <v/>
      </c>
      <c r="L123" s="9">
        <f>IF(MID(L$47,5,1)="1",1,"")</f>
        <v/>
      </c>
      <c r="M123" s="9">
        <f>IF(MID(M$47,5,1)="1",1,"")</f>
        <v/>
      </c>
      <c r="N123" s="9">
        <f>IF(MID(N$47,5,1)="1",1,"")</f>
        <v/>
      </c>
      <c r="O123" s="9">
        <f>IF(MID(O$47,5,1)="1",1,"")</f>
        <v/>
      </c>
      <c r="P123" s="9">
        <f>IF(MID(P$47,5,1)="1",1,"")</f>
        <v/>
      </c>
      <c r="Q123" s="9">
        <f>IF(MID(Q$47,5,1)="1",1,"")</f>
        <v/>
      </c>
      <c r="R123" s="9">
        <f>IF(MID(R$47,5,1)="1",1,"")</f>
        <v/>
      </c>
      <c r="S123" s="9">
        <f>IF(MID(S$47,5,1)="1",1,"")</f>
        <v/>
      </c>
      <c r="T123" s="9">
        <f>IF(MID(T$47,5,1)="1",1,"")</f>
        <v/>
      </c>
      <c r="U123" s="9">
        <f>IF(MID(U$47,5,1)="1",1,"")</f>
        <v/>
      </c>
      <c r="V123" s="9">
        <f>IF(MID(V$47,5,1)="1",1,"")</f>
        <v/>
      </c>
      <c r="W123" s="9">
        <f>IF(MID(W$47,5,1)="1",1,"")</f>
        <v/>
      </c>
      <c r="X123" s="9">
        <f>IF(MID(X$47,5,1)="1",1,"")</f>
        <v/>
      </c>
      <c r="Y123" s="9">
        <f>IF(MID(Y$47,5,1)="1",1,"")</f>
        <v/>
      </c>
      <c r="Z123" s="9">
        <f>IF(MID(Z$47,5,1)="1",1,"")</f>
        <v/>
      </c>
      <c r="AA123" s="9">
        <f>IF(MID(AA$47,5,1)="1",1,"")</f>
        <v/>
      </c>
      <c r="AB123" s="9">
        <f>IF(MID(AB$47,5,1)="1",1,"")</f>
        <v/>
      </c>
      <c r="AC123" s="9">
        <f>IF(MID(AC$47,5,1)="1",1,"")</f>
        <v/>
      </c>
      <c r="AD123" s="9">
        <f>IF(MID(AD$47,5,1)="1",1,"")</f>
        <v/>
      </c>
      <c r="AE123" s="9">
        <f>IF(MID(AE$47,5,1)="1",1,"")</f>
        <v/>
      </c>
      <c r="AF123" s="9">
        <f>IF(MID(AF$47,5,1)="1",1,"")</f>
        <v/>
      </c>
      <c r="AG123" s="9">
        <f>IF(MID(AG$47,5,1)="1",1,"")</f>
        <v/>
      </c>
      <c r="AH123" s="9">
        <f>IF(MID(AH$47,5,1)="1",1,"")</f>
        <v/>
      </c>
      <c r="AI123" s="9">
        <f>IF(MID(AI$47,5,1)="1",1,"")</f>
        <v/>
      </c>
      <c r="AJ123" s="9">
        <f>IF(MID(AJ$47,5,1)="1",1,"")</f>
        <v/>
      </c>
      <c r="AK123" s="9">
        <f>IF(MID(AK$47,5,1)="1",1,"")</f>
        <v/>
      </c>
    </row>
    <row r="124" customFormat="1" s="7">
      <c r="B124" s="7" t="n">
        <v>68</v>
      </c>
      <c r="C124" s="13" t="inlineStr">
        <is>
          <t>MOTOR_DRIVER_OVERCURRENT</t>
        </is>
      </c>
      <c r="F124" s="14">
        <f>IF(MID(F$47,4,1)="1",1,"")</f>
        <v/>
      </c>
      <c r="G124" s="14">
        <f>IF(MID(G$47,4,1)="1",1,"")</f>
        <v/>
      </c>
      <c r="H124" s="14">
        <f>IF(MID(H$47,4,1)="1",1,"")</f>
        <v/>
      </c>
      <c r="I124" s="14">
        <f>IF(MID(I$47,4,1)="1",1,"")</f>
        <v/>
      </c>
      <c r="J124" s="14">
        <f>IF(MID(J$47,4,1)="1",1,"")</f>
        <v/>
      </c>
      <c r="K124" s="14">
        <f>IF(MID(K$47,4,1)="1",1,"")</f>
        <v/>
      </c>
      <c r="L124" s="14">
        <f>IF(MID(L$47,4,1)="1",1,"")</f>
        <v/>
      </c>
      <c r="M124" s="14">
        <f>IF(MID(M$47,4,1)="1",1,"")</f>
        <v/>
      </c>
      <c r="N124" s="14">
        <f>IF(MID(N$47,4,1)="1",1,"")</f>
        <v/>
      </c>
      <c r="O124" s="14">
        <f>IF(MID(O$47,4,1)="1",1,"")</f>
        <v/>
      </c>
      <c r="P124" s="14">
        <f>IF(MID(P$47,4,1)="1",1,"")</f>
        <v/>
      </c>
      <c r="Q124" s="14">
        <f>IF(MID(Q$47,4,1)="1",1,"")</f>
        <v/>
      </c>
      <c r="R124" s="14">
        <f>IF(MID(R$47,4,1)="1",1,"")</f>
        <v/>
      </c>
      <c r="S124" s="14">
        <f>IF(MID(S$47,4,1)="1",1,"")</f>
        <v/>
      </c>
      <c r="T124" s="14">
        <f>IF(MID(T$47,4,1)="1",1,"")</f>
        <v/>
      </c>
      <c r="U124" s="14">
        <f>IF(MID(U$47,4,1)="1",1,"")</f>
        <v/>
      </c>
      <c r="V124" s="14">
        <f>IF(MID(V$47,4,1)="1",1,"")</f>
        <v/>
      </c>
      <c r="W124" s="14">
        <f>IF(MID(W$47,4,1)="1",1,"")</f>
        <v/>
      </c>
      <c r="X124" s="14">
        <f>IF(MID(X$47,4,1)="1",1,"")</f>
        <v/>
      </c>
      <c r="Y124" s="14">
        <f>IF(MID(Y$47,4,1)="1",1,"")</f>
        <v/>
      </c>
      <c r="Z124" s="14">
        <f>IF(MID(Z$47,4,1)="1",1,"")</f>
        <v/>
      </c>
      <c r="AA124" s="14">
        <f>IF(MID(AA$47,4,1)="1",1,"")</f>
        <v/>
      </c>
      <c r="AB124" s="14">
        <f>IF(MID(AB$47,4,1)="1",1,"")</f>
        <v/>
      </c>
      <c r="AC124" s="14">
        <f>IF(MID(AC$47,4,1)="1",1,"")</f>
        <v/>
      </c>
      <c r="AD124" s="14">
        <f>IF(MID(AD$47,4,1)="1",1,"")</f>
        <v/>
      </c>
      <c r="AE124" s="14">
        <f>IF(MID(AE$47,4,1)="1",1,"")</f>
        <v/>
      </c>
      <c r="AF124" s="14">
        <f>IF(MID(AF$47,4,1)="1",1,"")</f>
        <v/>
      </c>
      <c r="AG124" s="14">
        <f>IF(MID(AG$47,4,1)="1",1,"")</f>
        <v/>
      </c>
      <c r="AH124" s="14">
        <f>IF(MID(AH$47,4,1)="1",1,"")</f>
        <v/>
      </c>
      <c r="AI124" s="14">
        <f>IF(MID(AI$47,4,1)="1",1,"")</f>
        <v/>
      </c>
      <c r="AJ124" s="14">
        <f>IF(MID(AJ$47,4,1)="1",1,"")</f>
        <v/>
      </c>
      <c r="AK124" s="14">
        <f>IF(MID(AK$47,4,1)="1",1,"")</f>
        <v/>
      </c>
    </row>
    <row r="125">
      <c r="B125" t="n">
        <v>69</v>
      </c>
      <c r="C125" s="15" t="inlineStr">
        <is>
          <t>UNUSED</t>
        </is>
      </c>
      <c r="F125" s="9">
        <f>IF(MID(F$47,3,1)="1",1,"")</f>
        <v/>
      </c>
      <c r="G125" s="9">
        <f>IF(MID(G$47,3,1)="1",1,"")</f>
        <v/>
      </c>
      <c r="H125" s="9">
        <f>IF(MID(H$47,3,1)="1",1,"")</f>
        <v/>
      </c>
      <c r="I125" s="9">
        <f>IF(MID(I$47,3,1)="1",1,"")</f>
        <v/>
      </c>
      <c r="J125" s="9">
        <f>IF(MID(J$47,3,1)="1",1,"")</f>
        <v/>
      </c>
      <c r="K125" s="9">
        <f>IF(MID(K$47,3,1)="1",1,"")</f>
        <v/>
      </c>
      <c r="L125" s="9">
        <f>IF(MID(L$47,3,1)="1",1,"")</f>
        <v/>
      </c>
      <c r="M125" s="9">
        <f>IF(MID(M$47,3,1)="1",1,"")</f>
        <v/>
      </c>
      <c r="N125" s="9">
        <f>IF(MID(N$47,3,1)="1",1,"")</f>
        <v/>
      </c>
      <c r="O125" s="9">
        <f>IF(MID(O$47,3,1)="1",1,"")</f>
        <v/>
      </c>
      <c r="P125" s="9">
        <f>IF(MID(P$47,3,1)="1",1,"")</f>
        <v/>
      </c>
      <c r="Q125" s="9">
        <f>IF(MID(Q$47,3,1)="1",1,"")</f>
        <v/>
      </c>
      <c r="R125" s="9">
        <f>IF(MID(R$47,3,1)="1",1,"")</f>
        <v/>
      </c>
      <c r="S125" s="9">
        <f>IF(MID(S$47,3,1)="1",1,"")</f>
        <v/>
      </c>
      <c r="T125" s="9">
        <f>IF(MID(T$47,3,1)="1",1,"")</f>
        <v/>
      </c>
      <c r="U125" s="9">
        <f>IF(MID(U$47,3,1)="1",1,"")</f>
        <v/>
      </c>
      <c r="V125" s="9">
        <f>IF(MID(V$47,3,1)="1",1,"")</f>
        <v/>
      </c>
      <c r="W125" s="9">
        <f>IF(MID(W$47,3,1)="1",1,"")</f>
        <v/>
      </c>
      <c r="X125" s="9">
        <f>IF(MID(X$47,3,1)="1",1,"")</f>
        <v/>
      </c>
      <c r="Y125" s="9">
        <f>IF(MID(Y$47,3,1)="1",1,"")</f>
        <v/>
      </c>
      <c r="Z125" s="9">
        <f>IF(MID(Z$47,3,1)="1",1,"")</f>
        <v/>
      </c>
      <c r="AA125" s="9">
        <f>IF(MID(AA$47,3,1)="1",1,"")</f>
        <v/>
      </c>
      <c r="AB125" s="9">
        <f>IF(MID(AB$47,3,1)="1",1,"")</f>
        <v/>
      </c>
      <c r="AC125" s="9">
        <f>IF(MID(AC$47,3,1)="1",1,"")</f>
        <v/>
      </c>
      <c r="AD125" s="9">
        <f>IF(MID(AD$47,3,1)="1",1,"")</f>
        <v/>
      </c>
      <c r="AE125" s="9">
        <f>IF(MID(AE$47,3,1)="1",1,"")</f>
        <v/>
      </c>
      <c r="AF125" s="9">
        <f>IF(MID(AF$47,3,1)="1",1,"")</f>
        <v/>
      </c>
      <c r="AG125" s="9">
        <f>IF(MID(AG$47,3,1)="1",1,"")</f>
        <v/>
      </c>
      <c r="AH125" s="9">
        <f>IF(MID(AH$47,3,1)="1",1,"")</f>
        <v/>
      </c>
      <c r="AI125" s="9">
        <f>IF(MID(AI$47,3,1)="1",1,"")</f>
        <v/>
      </c>
      <c r="AJ125" s="9">
        <f>IF(MID(AJ$47,3,1)="1",1,"")</f>
        <v/>
      </c>
      <c r="AK125" s="9">
        <f>IF(MID(AK$47,3,1)="1",1,"")</f>
        <v/>
      </c>
    </row>
    <row r="126" customFormat="1" s="7">
      <c r="B126" s="7" t="n">
        <v>70</v>
      </c>
      <c r="C126" s="13" t="inlineStr">
        <is>
          <t>OFV_BACKGROUND_TIMEOUT</t>
        </is>
      </c>
      <c r="F126" s="14">
        <f>IF(MID(F$47,2,1)="1",1,"")</f>
        <v/>
      </c>
      <c r="G126" s="14">
        <f>IF(MID(G$47,2,1)="1",1,"")</f>
        <v/>
      </c>
      <c r="H126" s="14">
        <f>IF(MID(H$47,2,1)="1",1,"")</f>
        <v/>
      </c>
      <c r="I126" s="14">
        <f>IF(MID(I$47,2,1)="1",1,"")</f>
        <v/>
      </c>
      <c r="J126" s="14">
        <f>IF(MID(J$47,2,1)="1",1,"")</f>
        <v/>
      </c>
      <c r="K126" s="14">
        <f>IF(MID(K$47,2,1)="1",1,"")</f>
        <v/>
      </c>
      <c r="L126" s="14">
        <f>IF(MID(L$47,2,1)="1",1,"")</f>
        <v/>
      </c>
      <c r="M126" s="14">
        <f>IF(MID(M$47,2,1)="1",1,"")</f>
        <v/>
      </c>
      <c r="N126" s="14">
        <f>IF(MID(N$47,2,1)="1",1,"")</f>
        <v/>
      </c>
      <c r="O126" s="14">
        <f>IF(MID(O$47,2,1)="1",1,"")</f>
        <v/>
      </c>
      <c r="P126" s="14">
        <f>IF(MID(P$47,2,1)="1",1,"")</f>
        <v/>
      </c>
      <c r="Q126" s="14">
        <f>IF(MID(Q$47,2,1)="1",1,"")</f>
        <v/>
      </c>
      <c r="R126" s="14">
        <f>IF(MID(R$47,2,1)="1",1,"")</f>
        <v/>
      </c>
      <c r="S126" s="14">
        <f>IF(MID(S$47,2,1)="1",1,"")</f>
        <v/>
      </c>
      <c r="T126" s="14">
        <f>IF(MID(T$47,2,1)="1",1,"")</f>
        <v/>
      </c>
      <c r="U126" s="14">
        <f>IF(MID(U$47,2,1)="1",1,"")</f>
        <v/>
      </c>
      <c r="V126" s="14">
        <f>IF(MID(V$47,2,1)="1",1,"")</f>
        <v/>
      </c>
      <c r="W126" s="14">
        <f>IF(MID(W$47,2,1)="1",1,"")</f>
        <v/>
      </c>
      <c r="X126" s="14">
        <f>IF(MID(X$47,2,1)="1",1,"")</f>
        <v/>
      </c>
      <c r="Y126" s="14">
        <f>IF(MID(Y$47,2,1)="1",1,"")</f>
        <v/>
      </c>
      <c r="Z126" s="14">
        <f>IF(MID(Z$47,2,1)="1",1,"")</f>
        <v/>
      </c>
      <c r="AA126" s="14">
        <f>IF(MID(AA$47,2,1)="1",1,"")</f>
        <v/>
      </c>
      <c r="AB126" s="14">
        <f>IF(MID(AB$47,2,1)="1",1,"")</f>
        <v/>
      </c>
      <c r="AC126" s="14">
        <f>IF(MID(AC$47,2,1)="1",1,"")</f>
        <v/>
      </c>
      <c r="AD126" s="14">
        <f>IF(MID(AD$47,2,1)="1",1,"")</f>
        <v/>
      </c>
      <c r="AE126" s="14">
        <f>IF(MID(AE$47,2,1)="1",1,"")</f>
        <v/>
      </c>
      <c r="AF126" s="14">
        <f>IF(MID(AF$47,2,1)="1",1,"")</f>
        <v/>
      </c>
      <c r="AG126" s="14">
        <f>IF(MID(AG$47,2,1)="1",1,"")</f>
        <v/>
      </c>
      <c r="AH126" s="14">
        <f>IF(MID(AH$47,2,1)="1",1,"")</f>
        <v/>
      </c>
      <c r="AI126" s="14">
        <f>IF(MID(AI$47,2,1)="1",1,"")</f>
        <v/>
      </c>
      <c r="AJ126" s="14">
        <f>IF(MID(AJ$47,2,1)="1",1,"")</f>
        <v/>
      </c>
      <c r="AK126" s="14">
        <f>IF(MID(AK$47,2,1)="1",1,"")</f>
        <v/>
      </c>
    </row>
    <row r="127">
      <c r="B127" t="n">
        <v>71</v>
      </c>
      <c r="C127" s="15" t="inlineStr">
        <is>
          <t>OFV_SIGNPOST_FAIL</t>
        </is>
      </c>
      <c r="F127" s="9">
        <f>IF(MID(F$47,1,1)="1",1,"")</f>
        <v/>
      </c>
      <c r="G127" s="9">
        <f>IF(MID(G$47,1,1)="1",1,"")</f>
        <v/>
      </c>
      <c r="H127" s="9">
        <f>IF(MID(H$47,1,1)="1",1,"")</f>
        <v/>
      </c>
      <c r="I127" s="9">
        <f>IF(MID(I$47,1,1)="1",1,"")</f>
        <v/>
      </c>
      <c r="J127" s="9">
        <f>IF(MID(J$47,1,1)="1",1,"")</f>
        <v/>
      </c>
      <c r="K127" s="9">
        <f>IF(MID(K$47,1,1)="1",1,"")</f>
        <v/>
      </c>
      <c r="L127" s="9">
        <f>IF(MID(L$47,1,1)="1",1,"")</f>
        <v/>
      </c>
      <c r="M127" s="9">
        <f>IF(MID(M$47,1,1)="1",1,"")</f>
        <v/>
      </c>
      <c r="N127" s="9">
        <f>IF(MID(N$47,1,1)="1",1,"")</f>
        <v/>
      </c>
      <c r="O127" s="9">
        <f>IF(MID(O$47,1,1)="1",1,"")</f>
        <v/>
      </c>
      <c r="P127" s="9">
        <f>IF(MID(P$47,1,1)="1",1,"")</f>
        <v/>
      </c>
      <c r="Q127" s="9">
        <f>IF(MID(Q$47,1,1)="1",1,"")</f>
        <v/>
      </c>
      <c r="R127" s="9">
        <f>IF(MID(R$47,1,1)="1",1,"")</f>
        <v/>
      </c>
      <c r="S127" s="9">
        <f>IF(MID(S$47,1,1)="1",1,"")</f>
        <v/>
      </c>
      <c r="T127" s="9">
        <f>IF(MID(T$47,1,1)="1",1,"")</f>
        <v/>
      </c>
      <c r="U127" s="9">
        <f>IF(MID(U$47,1,1)="1",1,"")</f>
        <v/>
      </c>
      <c r="V127" s="9">
        <f>IF(MID(V$47,1,1)="1",1,"")</f>
        <v/>
      </c>
      <c r="W127" s="9">
        <f>IF(MID(W$47,1,1)="1",1,"")</f>
        <v/>
      </c>
      <c r="X127" s="9">
        <f>IF(MID(X$47,1,1)="1",1,"")</f>
        <v/>
      </c>
      <c r="Y127" s="9">
        <f>IF(MID(Y$47,1,1)="1",1,"")</f>
        <v/>
      </c>
      <c r="Z127" s="9">
        <f>IF(MID(Z$47,1,1)="1",1,"")</f>
        <v/>
      </c>
      <c r="AA127" s="9">
        <f>IF(MID(AA$47,1,1)="1",1,"")</f>
        <v/>
      </c>
      <c r="AB127" s="9">
        <f>IF(MID(AB$47,1,1)="1",1,"")</f>
        <v/>
      </c>
      <c r="AC127" s="9">
        <f>IF(MID(AC$47,1,1)="1",1,"")</f>
        <v/>
      </c>
      <c r="AD127" s="9">
        <f>IF(MID(AD$47,1,1)="1",1,"")</f>
        <v/>
      </c>
      <c r="AE127" s="9">
        <f>IF(MID(AE$47,1,1)="1",1,"")</f>
        <v/>
      </c>
      <c r="AF127" s="9">
        <f>IF(MID(AF$47,1,1)="1",1,"")</f>
        <v/>
      </c>
      <c r="AG127" s="9">
        <f>IF(MID(AG$47,1,1)="1",1,"")</f>
        <v/>
      </c>
      <c r="AH127" s="9">
        <f>IF(MID(AH$47,1,1)="1",1,"")</f>
        <v/>
      </c>
      <c r="AI127" s="9">
        <f>IF(MID(AI$47,1,1)="1",1,"")</f>
        <v/>
      </c>
      <c r="AJ127" s="9">
        <f>IF(MID(AJ$47,1,1)="1",1,"")</f>
        <v/>
      </c>
      <c r="AK127" s="9">
        <f>IF(MID(AK$47,1,1)="1",1,"")</f>
        <v/>
      </c>
    </row>
    <row r="128" customFormat="1" s="7">
      <c r="B128" s="7" t="n">
        <v>72</v>
      </c>
      <c r="C128" s="13" t="inlineStr">
        <is>
          <t>OFV_ROM_CRC_FAIL</t>
        </is>
      </c>
      <c r="F128" s="14">
        <f>IF(MID(F$48,8,1)="1",1,"")</f>
        <v/>
      </c>
      <c r="G128" s="14">
        <f>IF(MID(G$48,8,1)="1",1,"")</f>
        <v/>
      </c>
      <c r="H128" s="14">
        <f>IF(MID(H$48,8,1)="1",1,"")</f>
        <v/>
      </c>
      <c r="I128" s="14">
        <f>IF(MID(I$48,8,1)="1",1,"")</f>
        <v/>
      </c>
      <c r="J128" s="14">
        <f>IF(MID(J$48,8,1)="1",1,"")</f>
        <v/>
      </c>
      <c r="K128" s="14">
        <f>IF(MID(K$48,8,1)="1",1,"")</f>
        <v/>
      </c>
      <c r="L128" s="14">
        <f>IF(MID(L$48,8,1)="1",1,"")</f>
        <v/>
      </c>
      <c r="M128" s="14">
        <f>IF(MID(M$48,8,1)="1",1,"")</f>
        <v/>
      </c>
      <c r="N128" s="14">
        <f>IF(MID(N$48,8,1)="1",1,"")</f>
        <v/>
      </c>
      <c r="O128" s="14">
        <f>IF(MID(O$48,8,1)="1",1,"")</f>
        <v/>
      </c>
      <c r="P128" s="14">
        <f>IF(MID(P$48,8,1)="1",1,"")</f>
        <v/>
      </c>
      <c r="Q128" s="14">
        <f>IF(MID(Q$48,8,1)="1",1,"")</f>
        <v/>
      </c>
      <c r="R128" s="14">
        <f>IF(MID(R$48,8,1)="1",1,"")</f>
        <v/>
      </c>
      <c r="S128" s="14">
        <f>IF(MID(S$48,8,1)="1",1,"")</f>
        <v/>
      </c>
      <c r="T128" s="14">
        <f>IF(MID(T$48,8,1)="1",1,"")</f>
        <v/>
      </c>
      <c r="U128" s="14">
        <f>IF(MID(U$48,8,1)="1",1,"")</f>
        <v/>
      </c>
      <c r="V128" s="14">
        <f>IF(MID(V$48,8,1)="1",1,"")</f>
        <v/>
      </c>
      <c r="W128" s="14">
        <f>IF(MID(W$48,8,1)="1",1,"")</f>
        <v/>
      </c>
      <c r="X128" s="14">
        <f>IF(MID(X$48,8,1)="1",1,"")</f>
        <v/>
      </c>
      <c r="Y128" s="14">
        <f>IF(MID(Y$48,8,1)="1",1,"")</f>
        <v/>
      </c>
      <c r="Z128" s="14">
        <f>IF(MID(Z$48,8,1)="1",1,"")</f>
        <v/>
      </c>
      <c r="AA128" s="14">
        <f>IF(MID(AA$48,8,1)="1",1,"")</f>
        <v/>
      </c>
      <c r="AB128" s="14">
        <f>IF(MID(AB$48,8,1)="1",1,"")</f>
        <v/>
      </c>
      <c r="AC128" s="14">
        <f>IF(MID(AC$48,8,1)="1",1,"")</f>
        <v/>
      </c>
      <c r="AD128" s="14">
        <f>IF(MID(AD$48,8,1)="1",1,"")</f>
        <v/>
      </c>
      <c r="AE128" s="14">
        <f>IF(MID(AE$48,8,1)="1",1,"")</f>
        <v/>
      </c>
      <c r="AF128" s="14">
        <f>IF(MID(AF$48,8,1)="1",1,"")</f>
        <v/>
      </c>
      <c r="AG128" s="14">
        <f>IF(MID(AG$48,8,1)="1",1,"")</f>
        <v/>
      </c>
      <c r="AH128" s="14">
        <f>IF(MID(AH$48,8,1)="1",1,"")</f>
        <v/>
      </c>
      <c r="AI128" s="14">
        <f>IF(MID(AI$48,8,1)="1",1,"")</f>
        <v/>
      </c>
      <c r="AJ128" s="14">
        <f>IF(MID(AJ$48,8,1)="1",1,"")</f>
        <v/>
      </c>
      <c r="AK128" s="14">
        <f>IF(MID(AK$48,8,1)="1",1,"")</f>
        <v/>
      </c>
    </row>
    <row r="129">
      <c r="B129" t="n">
        <v>73</v>
      </c>
      <c r="C129" s="15" t="inlineStr">
        <is>
          <t>OFV_RS422_WR_FAIL</t>
        </is>
      </c>
      <c r="F129" s="9">
        <f>IF(MID(F$48,7,1)="1",1,"")</f>
        <v/>
      </c>
      <c r="G129" s="9">
        <f>IF(MID(G$48,7,1)="1",1,"")</f>
        <v/>
      </c>
      <c r="H129" s="9">
        <f>IF(MID(H$48,7,1)="1",1,"")</f>
        <v/>
      </c>
      <c r="I129" s="9">
        <f>IF(MID(I$48,7,1)="1",1,"")</f>
        <v/>
      </c>
      <c r="J129" s="9">
        <f>IF(MID(J$48,7,1)="1",1,"")</f>
        <v/>
      </c>
      <c r="K129" s="9">
        <f>IF(MID(K$48,7,1)="1",1,"")</f>
        <v/>
      </c>
      <c r="L129" s="9">
        <f>IF(MID(L$48,7,1)="1",1,"")</f>
        <v/>
      </c>
      <c r="M129" s="9">
        <f>IF(MID(M$48,7,1)="1",1,"")</f>
        <v/>
      </c>
      <c r="N129" s="9">
        <f>IF(MID(N$48,7,1)="1",1,"")</f>
        <v/>
      </c>
      <c r="O129" s="9">
        <f>IF(MID(O$48,7,1)="1",1,"")</f>
        <v/>
      </c>
      <c r="P129" s="9">
        <f>IF(MID(P$48,7,1)="1",1,"")</f>
        <v/>
      </c>
      <c r="Q129" s="9">
        <f>IF(MID(Q$48,7,1)="1",1,"")</f>
        <v/>
      </c>
      <c r="R129" s="9">
        <f>IF(MID(R$48,7,1)="1",1,"")</f>
        <v/>
      </c>
      <c r="S129" s="9">
        <f>IF(MID(S$48,7,1)="1",1,"")</f>
        <v/>
      </c>
      <c r="T129" s="9">
        <f>IF(MID(T$48,7,1)="1",1,"")</f>
        <v/>
      </c>
      <c r="U129" s="9">
        <f>IF(MID(U$48,7,1)="1",1,"")</f>
        <v/>
      </c>
      <c r="V129" s="9">
        <f>IF(MID(V$48,7,1)="1",1,"")</f>
        <v/>
      </c>
      <c r="W129" s="9">
        <f>IF(MID(W$48,7,1)="1",1,"")</f>
        <v/>
      </c>
      <c r="X129" s="9">
        <f>IF(MID(X$48,7,1)="1",1,"")</f>
        <v/>
      </c>
      <c r="Y129" s="9">
        <f>IF(MID(Y$48,7,1)="1",1,"")</f>
        <v/>
      </c>
      <c r="Z129" s="9">
        <f>IF(MID(Z$48,7,1)="1",1,"")</f>
        <v/>
      </c>
      <c r="AA129" s="9">
        <f>IF(MID(AA$48,7,1)="1",1,"")</f>
        <v/>
      </c>
      <c r="AB129" s="9">
        <f>IF(MID(AB$48,7,1)="1",1,"")</f>
        <v/>
      </c>
      <c r="AC129" s="9">
        <f>IF(MID(AC$48,7,1)="1",1,"")</f>
        <v/>
      </c>
      <c r="AD129" s="9">
        <f>IF(MID(AD$48,7,1)="1",1,"")</f>
        <v/>
      </c>
      <c r="AE129" s="9">
        <f>IF(MID(AE$48,7,1)="1",1,"")</f>
        <v/>
      </c>
      <c r="AF129" s="9">
        <f>IF(MID(AF$48,7,1)="1",1,"")</f>
        <v/>
      </c>
      <c r="AG129" s="9">
        <f>IF(MID(AG$48,7,1)="1",1,"")</f>
        <v/>
      </c>
      <c r="AH129" s="9">
        <f>IF(MID(AH$48,7,1)="1",1,"")</f>
        <v/>
      </c>
      <c r="AI129" s="9">
        <f>IF(MID(AI$48,7,1)="1",1,"")</f>
        <v/>
      </c>
      <c r="AJ129" s="9">
        <f>IF(MID(AJ$48,7,1)="1",1,"")</f>
        <v/>
      </c>
      <c r="AK129" s="9">
        <f>IF(MID(AK$48,7,1)="1",1,"")</f>
        <v/>
      </c>
    </row>
    <row r="130" customFormat="1" s="7">
      <c r="B130" s="7" t="n">
        <v>74</v>
      </c>
      <c r="C130" s="13" t="inlineStr">
        <is>
          <t>OFV_RS422_ACTIVITY_FAIL</t>
        </is>
      </c>
      <c r="F130" s="14">
        <f>IF(MID(F$48,6,1)="1",1,"")</f>
        <v/>
      </c>
      <c r="G130" s="14">
        <f>IF(MID(G$48,6,1)="1",1,"")</f>
        <v/>
      </c>
      <c r="H130" s="14">
        <f>IF(MID(H$48,6,1)="1",1,"")</f>
        <v/>
      </c>
      <c r="I130" s="14">
        <f>IF(MID(I$48,6,1)="1",1,"")</f>
        <v/>
      </c>
      <c r="J130" s="14">
        <f>IF(MID(J$48,6,1)="1",1,"")</f>
        <v/>
      </c>
      <c r="K130" s="14">
        <f>IF(MID(K$48,6,1)="1",1,"")</f>
        <v/>
      </c>
      <c r="L130" s="14">
        <f>IF(MID(L$48,6,1)="1",1,"")</f>
        <v/>
      </c>
      <c r="M130" s="14">
        <f>IF(MID(M$48,6,1)="1",1,"")</f>
        <v/>
      </c>
      <c r="N130" s="14">
        <f>IF(MID(N$48,6,1)="1",1,"")</f>
        <v/>
      </c>
      <c r="O130" s="14">
        <f>IF(MID(O$48,6,1)="1",1,"")</f>
        <v/>
      </c>
      <c r="P130" s="14">
        <f>IF(MID(P$48,6,1)="1",1,"")</f>
        <v/>
      </c>
      <c r="Q130" s="14">
        <f>IF(MID(Q$48,6,1)="1",1,"")</f>
        <v/>
      </c>
      <c r="R130" s="14">
        <f>IF(MID(R$48,6,1)="1",1,"")</f>
        <v/>
      </c>
      <c r="S130" s="14">
        <f>IF(MID(S$48,6,1)="1",1,"")</f>
        <v/>
      </c>
      <c r="T130" s="14">
        <f>IF(MID(T$48,6,1)="1",1,"")</f>
        <v/>
      </c>
      <c r="U130" s="14">
        <f>IF(MID(U$48,6,1)="1",1,"")</f>
        <v/>
      </c>
      <c r="V130" s="14">
        <f>IF(MID(V$48,6,1)="1",1,"")</f>
        <v/>
      </c>
      <c r="W130" s="14">
        <f>IF(MID(W$48,6,1)="1",1,"")</f>
        <v/>
      </c>
      <c r="X130" s="14">
        <f>IF(MID(X$48,6,1)="1",1,"")</f>
        <v/>
      </c>
      <c r="Y130" s="14">
        <f>IF(MID(Y$48,6,1)="1",1,"")</f>
        <v/>
      </c>
      <c r="Z130" s="14">
        <f>IF(MID(Z$48,6,1)="1",1,"")</f>
        <v/>
      </c>
      <c r="AA130" s="14">
        <f>IF(MID(AA$48,6,1)="1",1,"")</f>
        <v/>
      </c>
      <c r="AB130" s="14">
        <f>IF(MID(AB$48,6,1)="1",1,"")</f>
        <v/>
      </c>
      <c r="AC130" s="14">
        <f>IF(MID(AC$48,6,1)="1",1,"")</f>
        <v/>
      </c>
      <c r="AD130" s="14">
        <f>IF(MID(AD$48,6,1)="1",1,"")</f>
        <v/>
      </c>
      <c r="AE130" s="14">
        <f>IF(MID(AE$48,6,1)="1",1,"")</f>
        <v/>
      </c>
      <c r="AF130" s="14">
        <f>IF(MID(AF$48,6,1)="1",1,"")</f>
        <v/>
      </c>
      <c r="AG130" s="14">
        <f>IF(MID(AG$48,6,1)="1",1,"")</f>
        <v/>
      </c>
      <c r="AH130" s="14">
        <f>IF(MID(AH$48,6,1)="1",1,"")</f>
        <v/>
      </c>
      <c r="AI130" s="14">
        <f>IF(MID(AI$48,6,1)="1",1,"")</f>
        <v/>
      </c>
      <c r="AJ130" s="14">
        <f>IF(MID(AJ$48,6,1)="1",1,"")</f>
        <v/>
      </c>
      <c r="AK130" s="14">
        <f>IF(MID(AK$48,6,1)="1",1,"")</f>
        <v/>
      </c>
    </row>
    <row r="131">
      <c r="B131" t="n">
        <v>75</v>
      </c>
      <c r="C131" s="15" t="inlineStr">
        <is>
          <t>OFV_RS422_RCVR_INTR_FAIL</t>
        </is>
      </c>
      <c r="F131" s="9">
        <f>IF(MID(F$48,5,1)="1",1,"")</f>
        <v/>
      </c>
      <c r="G131" s="9">
        <f>IF(MID(G$48,5,1)="1",1,"")</f>
        <v/>
      </c>
      <c r="H131" s="9">
        <f>IF(MID(H$48,5,1)="1",1,"")</f>
        <v/>
      </c>
      <c r="I131" s="9">
        <f>IF(MID(I$48,5,1)="1",1,"")</f>
        <v/>
      </c>
      <c r="J131" s="9">
        <f>IF(MID(J$48,5,1)="1",1,"")</f>
        <v/>
      </c>
      <c r="K131" s="9">
        <f>IF(MID(K$48,5,1)="1",1,"")</f>
        <v/>
      </c>
      <c r="L131" s="9">
        <f>IF(MID(L$48,5,1)="1",1,"")</f>
        <v/>
      </c>
      <c r="M131" s="9">
        <f>IF(MID(M$48,5,1)="1",1,"")</f>
        <v/>
      </c>
      <c r="N131" s="9">
        <f>IF(MID(N$48,5,1)="1",1,"")</f>
        <v/>
      </c>
      <c r="O131" s="9">
        <f>IF(MID(O$48,5,1)="1",1,"")</f>
        <v/>
      </c>
      <c r="P131" s="9">
        <f>IF(MID(P$48,5,1)="1",1,"")</f>
        <v/>
      </c>
      <c r="Q131" s="9">
        <f>IF(MID(Q$48,5,1)="1",1,"")</f>
        <v/>
      </c>
      <c r="R131" s="9">
        <f>IF(MID(R$48,5,1)="1",1,"")</f>
        <v/>
      </c>
      <c r="S131" s="9">
        <f>IF(MID(S$48,5,1)="1",1,"")</f>
        <v/>
      </c>
      <c r="T131" s="9">
        <f>IF(MID(T$48,5,1)="1",1,"")</f>
        <v/>
      </c>
      <c r="U131" s="9">
        <f>IF(MID(U$48,5,1)="1",1,"")</f>
        <v/>
      </c>
      <c r="V131" s="9">
        <f>IF(MID(V$48,5,1)="1",1,"")</f>
        <v/>
      </c>
      <c r="W131" s="9">
        <f>IF(MID(W$48,5,1)="1",1,"")</f>
        <v/>
      </c>
      <c r="X131" s="9">
        <f>IF(MID(X$48,5,1)="1",1,"")</f>
        <v/>
      </c>
      <c r="Y131" s="9">
        <f>IF(MID(Y$48,5,1)="1",1,"")</f>
        <v/>
      </c>
      <c r="Z131" s="9">
        <f>IF(MID(Z$48,5,1)="1",1,"")</f>
        <v/>
      </c>
      <c r="AA131" s="9">
        <f>IF(MID(AA$48,5,1)="1",1,"")</f>
        <v/>
      </c>
      <c r="AB131" s="9">
        <f>IF(MID(AB$48,5,1)="1",1,"")</f>
        <v/>
      </c>
      <c r="AC131" s="9">
        <f>IF(MID(AC$48,5,1)="1",1,"")</f>
        <v/>
      </c>
      <c r="AD131" s="9">
        <f>IF(MID(AD$48,5,1)="1",1,"")</f>
        <v/>
      </c>
      <c r="AE131" s="9">
        <f>IF(MID(AE$48,5,1)="1",1,"")</f>
        <v/>
      </c>
      <c r="AF131" s="9">
        <f>IF(MID(AF$48,5,1)="1",1,"")</f>
        <v/>
      </c>
      <c r="AG131" s="9">
        <f>IF(MID(AG$48,5,1)="1",1,"")</f>
        <v/>
      </c>
      <c r="AH131" s="9">
        <f>IF(MID(AH$48,5,1)="1",1,"")</f>
        <v/>
      </c>
      <c r="AI131" s="9">
        <f>IF(MID(AI$48,5,1)="1",1,"")</f>
        <v/>
      </c>
      <c r="AJ131" s="9">
        <f>IF(MID(AJ$48,5,1)="1",1,"")</f>
        <v/>
      </c>
      <c r="AK131" s="9">
        <f>IF(MID(AK$48,5,1)="1",1,"")</f>
        <v/>
      </c>
    </row>
    <row r="132" customFormat="1" s="7">
      <c r="B132" s="7" t="n">
        <v>76</v>
      </c>
      <c r="C132" s="13" t="inlineStr">
        <is>
          <t>MOTOR_DIRECTION_WR_FAIL</t>
        </is>
      </c>
      <c r="F132" s="14">
        <f>IF(MID(F$48,4,1)="1",1,"")</f>
        <v/>
      </c>
      <c r="G132" s="14">
        <f>IF(MID(G$48,4,1)="1",1,"")</f>
        <v/>
      </c>
      <c r="H132" s="14">
        <f>IF(MID(H$48,4,1)="1",1,"")</f>
        <v/>
      </c>
      <c r="I132" s="14">
        <f>IF(MID(I$48,4,1)="1",1,"")</f>
        <v/>
      </c>
      <c r="J132" s="14">
        <f>IF(MID(J$48,4,1)="1",1,"")</f>
        <v/>
      </c>
      <c r="K132" s="14">
        <f>IF(MID(K$48,4,1)="1",1,"")</f>
        <v/>
      </c>
      <c r="L132" s="14">
        <f>IF(MID(L$48,4,1)="1",1,"")</f>
        <v/>
      </c>
      <c r="M132" s="14">
        <f>IF(MID(M$48,4,1)="1",1,"")</f>
        <v/>
      </c>
      <c r="N132" s="14">
        <f>IF(MID(N$48,4,1)="1",1,"")</f>
        <v/>
      </c>
      <c r="O132" s="14">
        <f>IF(MID(O$48,4,1)="1",1,"")</f>
        <v/>
      </c>
      <c r="P132" s="14">
        <f>IF(MID(P$48,4,1)="1",1,"")</f>
        <v/>
      </c>
      <c r="Q132" s="14">
        <f>IF(MID(Q$48,4,1)="1",1,"")</f>
        <v/>
      </c>
      <c r="R132" s="14">
        <f>IF(MID(R$48,4,1)="1",1,"")</f>
        <v/>
      </c>
      <c r="S132" s="14">
        <f>IF(MID(S$48,4,1)="1",1,"")</f>
        <v/>
      </c>
      <c r="T132" s="14">
        <f>IF(MID(T$48,4,1)="1",1,"")</f>
        <v/>
      </c>
      <c r="U132" s="14">
        <f>IF(MID(U$48,4,1)="1",1,"")</f>
        <v/>
      </c>
      <c r="V132" s="14">
        <f>IF(MID(V$48,4,1)="1",1,"")</f>
        <v/>
      </c>
      <c r="W132" s="14">
        <f>IF(MID(W$48,4,1)="1",1,"")</f>
        <v/>
      </c>
      <c r="X132" s="14">
        <f>IF(MID(X$48,4,1)="1",1,"")</f>
        <v/>
      </c>
      <c r="Y132" s="14">
        <f>IF(MID(Y$48,4,1)="1",1,"")</f>
        <v/>
      </c>
      <c r="Z132" s="14">
        <f>IF(MID(Z$48,4,1)="1",1,"")</f>
        <v/>
      </c>
      <c r="AA132" s="14">
        <f>IF(MID(AA$48,4,1)="1",1,"")</f>
        <v/>
      </c>
      <c r="AB132" s="14">
        <f>IF(MID(AB$48,4,1)="1",1,"")</f>
        <v/>
      </c>
      <c r="AC132" s="14">
        <f>IF(MID(AC$48,4,1)="1",1,"")</f>
        <v/>
      </c>
      <c r="AD132" s="14">
        <f>IF(MID(AD$48,4,1)="1",1,"")</f>
        <v/>
      </c>
      <c r="AE132" s="14">
        <f>IF(MID(AE$48,4,1)="1",1,"")</f>
        <v/>
      </c>
      <c r="AF132" s="14">
        <f>IF(MID(AF$48,4,1)="1",1,"")</f>
        <v/>
      </c>
      <c r="AG132" s="14">
        <f>IF(MID(AG$48,4,1)="1",1,"")</f>
        <v/>
      </c>
      <c r="AH132" s="14">
        <f>IF(MID(AH$48,4,1)="1",1,"")</f>
        <v/>
      </c>
      <c r="AI132" s="14">
        <f>IF(MID(AI$48,4,1)="1",1,"")</f>
        <v/>
      </c>
      <c r="AJ132" s="14">
        <f>IF(MID(AJ$48,4,1)="1",1,"")</f>
        <v/>
      </c>
      <c r="AK132" s="14">
        <f>IF(MID(AK$48,4,1)="1",1,"")</f>
        <v/>
      </c>
    </row>
    <row r="133">
      <c r="B133" t="n">
        <v>77</v>
      </c>
      <c r="C133" s="15" t="inlineStr">
        <is>
          <t>OFV_SENSOR_EXCITATION_FAIL</t>
        </is>
      </c>
      <c r="F133" s="9">
        <f>IF(MID(F$48,3,1)="1",1,"")</f>
        <v/>
      </c>
      <c r="G133" s="9">
        <f>IF(MID(G$48,3,1)="1",1,"")</f>
        <v/>
      </c>
      <c r="H133" s="9">
        <f>IF(MID(H$48,3,1)="1",1,"")</f>
        <v/>
      </c>
      <c r="I133" s="9">
        <f>IF(MID(I$48,3,1)="1",1,"")</f>
        <v/>
      </c>
      <c r="J133" s="9">
        <f>IF(MID(J$48,3,1)="1",1,"")</f>
        <v/>
      </c>
      <c r="K133" s="9">
        <f>IF(MID(K$48,3,1)="1",1,"")</f>
        <v/>
      </c>
      <c r="L133" s="9">
        <f>IF(MID(L$48,3,1)="1",1,"")</f>
        <v/>
      </c>
      <c r="M133" s="9">
        <f>IF(MID(M$48,3,1)="1",1,"")</f>
        <v/>
      </c>
      <c r="N133" s="9">
        <f>IF(MID(N$48,3,1)="1",1,"")</f>
        <v/>
      </c>
      <c r="O133" s="9">
        <f>IF(MID(O$48,3,1)="1",1,"")</f>
        <v/>
      </c>
      <c r="P133" s="9">
        <f>IF(MID(P$48,3,1)="1",1,"")</f>
        <v/>
      </c>
      <c r="Q133" s="9">
        <f>IF(MID(Q$48,3,1)="1",1,"")</f>
        <v/>
      </c>
      <c r="R133" s="9">
        <f>IF(MID(R$48,3,1)="1",1,"")</f>
        <v/>
      </c>
      <c r="S133" s="9">
        <f>IF(MID(S$48,3,1)="1",1,"")</f>
        <v/>
      </c>
      <c r="T133" s="9">
        <f>IF(MID(T$48,3,1)="1",1,"")</f>
        <v/>
      </c>
      <c r="U133" s="9">
        <f>IF(MID(U$48,3,1)="1",1,"")</f>
        <v/>
      </c>
      <c r="V133" s="9">
        <f>IF(MID(V$48,3,1)="1",1,"")</f>
        <v/>
      </c>
      <c r="W133" s="9">
        <f>IF(MID(W$48,3,1)="1",1,"")</f>
        <v/>
      </c>
      <c r="X133" s="9">
        <f>IF(MID(X$48,3,1)="1",1,"")</f>
        <v/>
      </c>
      <c r="Y133" s="9">
        <f>IF(MID(Y$48,3,1)="1",1,"")</f>
        <v/>
      </c>
      <c r="Z133" s="9">
        <f>IF(MID(Z$48,3,1)="1",1,"")</f>
        <v/>
      </c>
      <c r="AA133" s="9">
        <f>IF(MID(AA$48,3,1)="1",1,"")</f>
        <v/>
      </c>
      <c r="AB133" s="9">
        <f>IF(MID(AB$48,3,1)="1",1,"")</f>
        <v/>
      </c>
      <c r="AC133" s="9">
        <f>IF(MID(AC$48,3,1)="1",1,"")</f>
        <v/>
      </c>
      <c r="AD133" s="9">
        <f>IF(MID(AD$48,3,1)="1",1,"")</f>
        <v/>
      </c>
      <c r="AE133" s="9">
        <f>IF(MID(AE$48,3,1)="1",1,"")</f>
        <v/>
      </c>
      <c r="AF133" s="9">
        <f>IF(MID(AF$48,3,1)="1",1,"")</f>
        <v/>
      </c>
      <c r="AG133" s="9">
        <f>IF(MID(AG$48,3,1)="1",1,"")</f>
        <v/>
      </c>
      <c r="AH133" s="9">
        <f>IF(MID(AH$48,3,1)="1",1,"")</f>
        <v/>
      </c>
      <c r="AI133" s="9">
        <f>IF(MID(AI$48,3,1)="1",1,"")</f>
        <v/>
      </c>
      <c r="AJ133" s="9">
        <f>IF(MID(AJ$48,3,1)="1",1,"")</f>
        <v/>
      </c>
      <c r="AK133" s="9">
        <f>IF(MID(AK$48,3,1)="1",1,"")</f>
        <v/>
      </c>
    </row>
    <row r="134" customFormat="1" s="7">
      <c r="B134" s="7" t="n">
        <v>78</v>
      </c>
      <c r="C134" s="13" t="inlineStr">
        <is>
          <t>OFV_SENSOR_RANGE_FAIL</t>
        </is>
      </c>
      <c r="F134" s="14">
        <f>IF(MID(F$48,2,1)="1",1,"")</f>
        <v/>
      </c>
      <c r="G134" s="14">
        <f>IF(MID(G$48,2,1)="1",1,"")</f>
        <v/>
      </c>
      <c r="H134" s="14">
        <f>IF(MID(H$48,2,1)="1",1,"")</f>
        <v/>
      </c>
      <c r="I134" s="14">
        <f>IF(MID(I$48,2,1)="1",1,"")</f>
        <v/>
      </c>
      <c r="J134" s="14">
        <f>IF(MID(J$48,2,1)="1",1,"")</f>
        <v/>
      </c>
      <c r="K134" s="14">
        <f>IF(MID(K$48,2,1)="1",1,"")</f>
        <v/>
      </c>
      <c r="L134" s="14">
        <f>IF(MID(L$48,2,1)="1",1,"")</f>
        <v/>
      </c>
      <c r="M134" s="14">
        <f>IF(MID(M$48,2,1)="1",1,"")</f>
        <v/>
      </c>
      <c r="N134" s="14">
        <f>IF(MID(N$48,2,1)="1",1,"")</f>
        <v/>
      </c>
      <c r="O134" s="14">
        <f>IF(MID(O$48,2,1)="1",1,"")</f>
        <v/>
      </c>
      <c r="P134" s="14">
        <f>IF(MID(P$48,2,1)="1",1,"")</f>
        <v/>
      </c>
      <c r="Q134" s="14">
        <f>IF(MID(Q$48,2,1)="1",1,"")</f>
        <v/>
      </c>
      <c r="R134" s="14">
        <f>IF(MID(R$48,2,1)="1",1,"")</f>
        <v/>
      </c>
      <c r="S134" s="14">
        <f>IF(MID(S$48,2,1)="1",1,"")</f>
        <v/>
      </c>
      <c r="T134" s="14">
        <f>IF(MID(T$48,2,1)="1",1,"")</f>
        <v/>
      </c>
      <c r="U134" s="14">
        <f>IF(MID(U$48,2,1)="1",1,"")</f>
        <v/>
      </c>
      <c r="V134" s="14">
        <f>IF(MID(V$48,2,1)="1",1,"")</f>
        <v/>
      </c>
      <c r="W134" s="14">
        <f>IF(MID(W$48,2,1)="1",1,"")</f>
        <v/>
      </c>
      <c r="X134" s="14">
        <f>IF(MID(X$48,2,1)="1",1,"")</f>
        <v/>
      </c>
      <c r="Y134" s="14">
        <f>IF(MID(Y$48,2,1)="1",1,"")</f>
        <v/>
      </c>
      <c r="Z134" s="14">
        <f>IF(MID(Z$48,2,1)="1",1,"")</f>
        <v/>
      </c>
      <c r="AA134" s="14">
        <f>IF(MID(AA$48,2,1)="1",1,"")</f>
        <v/>
      </c>
      <c r="AB134" s="14">
        <f>IF(MID(AB$48,2,1)="1",1,"")</f>
        <v/>
      </c>
      <c r="AC134" s="14">
        <f>IF(MID(AC$48,2,1)="1",1,"")</f>
        <v/>
      </c>
      <c r="AD134" s="14">
        <f>IF(MID(AD$48,2,1)="1",1,"")</f>
        <v/>
      </c>
      <c r="AE134" s="14">
        <f>IF(MID(AE$48,2,1)="1",1,"")</f>
        <v/>
      </c>
      <c r="AF134" s="14">
        <f>IF(MID(AF$48,2,1)="1",1,"")</f>
        <v/>
      </c>
      <c r="AG134" s="14">
        <f>IF(MID(AG$48,2,1)="1",1,"")</f>
        <v/>
      </c>
      <c r="AH134" s="14">
        <f>IF(MID(AH$48,2,1)="1",1,"")</f>
        <v/>
      </c>
      <c r="AI134" s="14">
        <f>IF(MID(AI$48,2,1)="1",1,"")</f>
        <v/>
      </c>
      <c r="AJ134" s="14">
        <f>IF(MID(AJ$48,2,1)="1",1,"")</f>
        <v/>
      </c>
      <c r="AK134" s="14">
        <f>IF(MID(AK$48,2,1)="1",1,"")</f>
        <v/>
      </c>
    </row>
    <row r="135">
      <c r="B135" t="n">
        <v>79</v>
      </c>
      <c r="C135" s="15" t="inlineStr">
        <is>
          <t>OFV_AIRCRAFT_ID</t>
        </is>
      </c>
      <c r="F135" s="9">
        <f>IF(MID(F$48,1,1)="1",1,"")</f>
        <v/>
      </c>
      <c r="G135" s="9">
        <f>IF(MID(G$48,1,1)="1",1,"")</f>
        <v/>
      </c>
      <c r="H135" s="9">
        <f>IF(MID(H$48,1,1)="1",1,"")</f>
        <v/>
      </c>
      <c r="I135" s="9">
        <f>IF(MID(I$48,1,1)="1",1,"")</f>
        <v/>
      </c>
      <c r="J135" s="9">
        <f>IF(MID(J$48,1,1)="1",1,"")</f>
        <v/>
      </c>
      <c r="K135" s="9">
        <f>IF(MID(K$48,1,1)="1",1,"")</f>
        <v/>
      </c>
      <c r="L135" s="9">
        <f>IF(MID(L$48,1,1)="1",1,"")</f>
        <v/>
      </c>
      <c r="M135" s="9">
        <f>IF(MID(M$48,1,1)="1",1,"")</f>
        <v/>
      </c>
      <c r="N135" s="9">
        <f>IF(MID(N$48,1,1)="1",1,"")</f>
        <v/>
      </c>
      <c r="O135" s="9">
        <f>IF(MID(O$48,1,1)="1",1,"")</f>
        <v/>
      </c>
      <c r="P135" s="9">
        <f>IF(MID(P$48,1,1)="1",1,"")</f>
        <v/>
      </c>
      <c r="Q135" s="9">
        <f>IF(MID(Q$48,1,1)="1",1,"")</f>
        <v/>
      </c>
      <c r="R135" s="9">
        <f>IF(MID(R$48,1,1)="1",1,"")</f>
        <v/>
      </c>
      <c r="S135" s="9">
        <f>IF(MID(S$48,1,1)="1",1,"")</f>
        <v/>
      </c>
      <c r="T135" s="9">
        <f>IF(MID(T$48,1,1)="1",1,"")</f>
        <v/>
      </c>
      <c r="U135" s="9">
        <f>IF(MID(U$48,1,1)="1",1,"")</f>
        <v/>
      </c>
      <c r="V135" s="9">
        <f>IF(MID(V$48,1,1)="1",1,"")</f>
        <v/>
      </c>
      <c r="W135" s="9">
        <f>IF(MID(W$48,1,1)="1",1,"")</f>
        <v/>
      </c>
      <c r="X135" s="9">
        <f>IF(MID(X$48,1,1)="1",1,"")</f>
        <v/>
      </c>
      <c r="Y135" s="9">
        <f>IF(MID(Y$48,1,1)="1",1,"")</f>
        <v/>
      </c>
      <c r="Z135" s="9">
        <f>IF(MID(Z$48,1,1)="1",1,"")</f>
        <v/>
      </c>
      <c r="AA135" s="9">
        <f>IF(MID(AA$48,1,1)="1",1,"")</f>
        <v/>
      </c>
      <c r="AB135" s="9">
        <f>IF(MID(AB$48,1,1)="1",1,"")</f>
        <v/>
      </c>
      <c r="AC135" s="9">
        <f>IF(MID(AC$48,1,1)="1",1,"")</f>
        <v/>
      </c>
      <c r="AD135" s="9">
        <f>IF(MID(AD$48,1,1)="1",1,"")</f>
        <v/>
      </c>
      <c r="AE135" s="9">
        <f>IF(MID(AE$48,1,1)="1",1,"")</f>
        <v/>
      </c>
      <c r="AF135" s="9">
        <f>IF(MID(AF$48,1,1)="1",1,"")</f>
        <v/>
      </c>
      <c r="AG135" s="9">
        <f>IF(MID(AG$48,1,1)="1",1,"")</f>
        <v/>
      </c>
      <c r="AH135" s="9">
        <f>IF(MID(AH$48,1,1)="1",1,"")</f>
        <v/>
      </c>
      <c r="AI135" s="9">
        <f>IF(MID(AI$48,1,1)="1",1,"")</f>
        <v/>
      </c>
      <c r="AJ135" s="9">
        <f>IF(MID(AJ$48,1,1)="1",1,"")</f>
        <v/>
      </c>
      <c r="AK135" s="9">
        <f>IF(MID(AK$48,1,1)="1",1,"")</f>
        <v/>
      </c>
    </row>
    <row r="136" customFormat="1" s="7">
      <c r="B136" s="7" t="n">
        <v>80</v>
      </c>
      <c r="C136" s="13" t="inlineStr">
        <is>
          <t>OFV_A/D_FRAME_LATE_FAIL</t>
        </is>
      </c>
      <c r="F136" s="14">
        <f>IF(MID(F$49,8,1)="1",1,"")</f>
        <v/>
      </c>
      <c r="G136" s="14">
        <f>IF(MID(G$49,8,1)="1",1,"")</f>
        <v/>
      </c>
      <c r="H136" s="14">
        <f>IF(MID(H$49,8,1)="1",1,"")</f>
        <v/>
      </c>
      <c r="I136" s="14">
        <f>IF(MID(I$49,8,1)="1",1,"")</f>
        <v/>
      </c>
      <c r="J136" s="14">
        <f>IF(MID(J$49,8,1)="1",1,"")</f>
        <v/>
      </c>
      <c r="K136" s="14">
        <f>IF(MID(K$49,8,1)="1",1,"")</f>
        <v/>
      </c>
      <c r="L136" s="14">
        <f>IF(MID(L$49,8,1)="1",1,"")</f>
        <v/>
      </c>
      <c r="M136" s="14">
        <f>IF(MID(M$49,8,1)="1",1,"")</f>
        <v/>
      </c>
      <c r="N136" s="14">
        <f>IF(MID(N$49,8,1)="1",1,"")</f>
        <v/>
      </c>
      <c r="O136" s="14">
        <f>IF(MID(O$49,8,1)="1",1,"")</f>
        <v/>
      </c>
      <c r="P136" s="14">
        <f>IF(MID(P$49,8,1)="1",1,"")</f>
        <v/>
      </c>
      <c r="Q136" s="14">
        <f>IF(MID(Q$49,8,1)="1",1,"")</f>
        <v/>
      </c>
      <c r="R136" s="14">
        <f>IF(MID(R$49,8,1)="1",1,"")</f>
        <v/>
      </c>
      <c r="S136" s="14">
        <f>IF(MID(S$49,8,1)="1",1,"")</f>
        <v/>
      </c>
      <c r="T136" s="14">
        <f>IF(MID(T$49,8,1)="1",1,"")</f>
        <v/>
      </c>
      <c r="U136" s="14">
        <f>IF(MID(U$49,8,1)="1",1,"")</f>
        <v/>
      </c>
      <c r="V136" s="14">
        <f>IF(MID(V$49,8,1)="1",1,"")</f>
        <v/>
      </c>
      <c r="W136" s="14">
        <f>IF(MID(W$49,8,1)="1",1,"")</f>
        <v/>
      </c>
      <c r="X136" s="14">
        <f>IF(MID(X$49,8,1)="1",1,"")</f>
        <v/>
      </c>
      <c r="Y136" s="14">
        <f>IF(MID(Y$49,8,1)="1",1,"")</f>
        <v/>
      </c>
      <c r="Z136" s="14">
        <f>IF(MID(Z$49,8,1)="1",1,"")</f>
        <v/>
      </c>
      <c r="AA136" s="14">
        <f>IF(MID(AA$49,8,1)="1",1,"")</f>
        <v/>
      </c>
      <c r="AB136" s="14">
        <f>IF(MID(AB$49,8,1)="1",1,"")</f>
        <v/>
      </c>
      <c r="AC136" s="14">
        <f>IF(MID(AC$49,8,1)="1",1,"")</f>
        <v/>
      </c>
      <c r="AD136" s="14">
        <f>IF(MID(AD$49,8,1)="1",1,"")</f>
        <v/>
      </c>
      <c r="AE136" s="14">
        <f>IF(MID(AE$49,8,1)="1",1,"")</f>
        <v/>
      </c>
      <c r="AF136" s="14">
        <f>IF(MID(AF$49,8,1)="1",1,"")</f>
        <v/>
      </c>
      <c r="AG136" s="14">
        <f>IF(MID(AG$49,8,1)="1",1,"")</f>
        <v/>
      </c>
      <c r="AH136" s="14">
        <f>IF(MID(AH$49,8,1)="1",1,"")</f>
        <v/>
      </c>
      <c r="AI136" s="14">
        <f>IF(MID(AI$49,8,1)="1",1,"")</f>
        <v/>
      </c>
      <c r="AJ136" s="14">
        <f>IF(MID(AJ$49,8,1)="1",1,"")</f>
        <v/>
      </c>
      <c r="AK136" s="14">
        <f>IF(MID(AK$49,8,1)="1",1,"")</f>
        <v/>
      </c>
    </row>
    <row r="137">
      <c r="B137" t="n">
        <v>81</v>
      </c>
      <c r="C137" s="15" t="inlineStr">
        <is>
          <t>OFV_LOOP_CLOSURE_FAIL</t>
        </is>
      </c>
      <c r="F137" s="9">
        <f>IF(MID(F$49,7,1)="1",1,"")</f>
        <v/>
      </c>
      <c r="G137" s="9">
        <f>IF(MID(G$49,7,1)="1",1,"")</f>
        <v/>
      </c>
      <c r="H137" s="9">
        <f>IF(MID(H$49,7,1)="1",1,"")</f>
        <v/>
      </c>
      <c r="I137" s="9">
        <f>IF(MID(I$49,7,1)="1",1,"")</f>
        <v/>
      </c>
      <c r="J137" s="9">
        <f>IF(MID(J$49,7,1)="1",1,"")</f>
        <v/>
      </c>
      <c r="K137" s="9">
        <f>IF(MID(K$49,7,1)="1",1,"")</f>
        <v/>
      </c>
      <c r="L137" s="9">
        <f>IF(MID(L$49,7,1)="1",1,"")</f>
        <v/>
      </c>
      <c r="M137" s="9">
        <f>IF(MID(M$49,7,1)="1",1,"")</f>
        <v/>
      </c>
      <c r="N137" s="9">
        <f>IF(MID(N$49,7,1)="1",1,"")</f>
        <v/>
      </c>
      <c r="O137" s="9">
        <f>IF(MID(O$49,7,1)="1",1,"")</f>
        <v/>
      </c>
      <c r="P137" s="9">
        <f>IF(MID(P$49,7,1)="1",1,"")</f>
        <v/>
      </c>
      <c r="Q137" s="9">
        <f>IF(MID(Q$49,7,1)="1",1,"")</f>
        <v/>
      </c>
      <c r="R137" s="9">
        <f>IF(MID(R$49,7,1)="1",1,"")</f>
        <v/>
      </c>
      <c r="S137" s="9">
        <f>IF(MID(S$49,7,1)="1",1,"")</f>
        <v/>
      </c>
      <c r="T137" s="9">
        <f>IF(MID(T$49,7,1)="1",1,"")</f>
        <v/>
      </c>
      <c r="U137" s="9">
        <f>IF(MID(U$49,7,1)="1",1,"")</f>
        <v/>
      </c>
      <c r="V137" s="9">
        <f>IF(MID(V$49,7,1)="1",1,"")</f>
        <v/>
      </c>
      <c r="W137" s="9">
        <f>IF(MID(W$49,7,1)="1",1,"")</f>
        <v/>
      </c>
      <c r="X137" s="9">
        <f>IF(MID(X$49,7,1)="1",1,"")</f>
        <v/>
      </c>
      <c r="Y137" s="9">
        <f>IF(MID(Y$49,7,1)="1",1,"")</f>
        <v/>
      </c>
      <c r="Z137" s="9">
        <f>IF(MID(Z$49,7,1)="1",1,"")</f>
        <v/>
      </c>
      <c r="AA137" s="9">
        <f>IF(MID(AA$49,7,1)="1",1,"")</f>
        <v/>
      </c>
      <c r="AB137" s="9">
        <f>IF(MID(AB$49,7,1)="1",1,"")</f>
        <v/>
      </c>
      <c r="AC137" s="9">
        <f>IF(MID(AC$49,7,1)="1",1,"")</f>
        <v/>
      </c>
      <c r="AD137" s="9">
        <f>IF(MID(AD$49,7,1)="1",1,"")</f>
        <v/>
      </c>
      <c r="AE137" s="9">
        <f>IF(MID(AE$49,7,1)="1",1,"")</f>
        <v/>
      </c>
      <c r="AF137" s="9">
        <f>IF(MID(AF$49,7,1)="1",1,"")</f>
        <v/>
      </c>
      <c r="AG137" s="9">
        <f>IF(MID(AG$49,7,1)="1",1,"")</f>
        <v/>
      </c>
      <c r="AH137" s="9">
        <f>IF(MID(AH$49,7,1)="1",1,"")</f>
        <v/>
      </c>
      <c r="AI137" s="9">
        <f>IF(MID(AI$49,7,1)="1",1,"")</f>
        <v/>
      </c>
      <c r="AJ137" s="9">
        <f>IF(MID(AJ$49,7,1)="1",1,"")</f>
        <v/>
      </c>
      <c r="AK137" s="9">
        <f>IF(MID(AK$49,7,1)="1",1,"")</f>
        <v/>
      </c>
    </row>
    <row r="138" customFormat="1" s="7">
      <c r="B138" s="7" t="n">
        <v>82</v>
      </c>
      <c r="C138" s="13" t="inlineStr">
        <is>
          <t>OFV_UNUSED_INTR</t>
        </is>
      </c>
      <c r="F138" s="14">
        <f>IF(MID(F$49,6,1)="1",1,"")</f>
        <v/>
      </c>
      <c r="G138" s="14">
        <f>IF(MID(G$49,6,1)="1",1,"")</f>
        <v/>
      </c>
      <c r="H138" s="14">
        <f>IF(MID(H$49,6,1)="1",1,"")</f>
        <v/>
      </c>
      <c r="I138" s="14">
        <f>IF(MID(I$49,6,1)="1",1,"")</f>
        <v/>
      </c>
      <c r="J138" s="14">
        <f>IF(MID(J$49,6,1)="1",1,"")</f>
        <v/>
      </c>
      <c r="K138" s="14">
        <f>IF(MID(K$49,6,1)="1",1,"")</f>
        <v/>
      </c>
      <c r="L138" s="14">
        <f>IF(MID(L$49,6,1)="1",1,"")</f>
        <v/>
      </c>
      <c r="M138" s="14">
        <f>IF(MID(M$49,6,1)="1",1,"")</f>
        <v/>
      </c>
      <c r="N138" s="14">
        <f>IF(MID(N$49,6,1)="1",1,"")</f>
        <v/>
      </c>
      <c r="O138" s="14">
        <f>IF(MID(O$49,6,1)="1",1,"")</f>
        <v/>
      </c>
      <c r="P138" s="14">
        <f>IF(MID(P$49,6,1)="1",1,"")</f>
        <v/>
      </c>
      <c r="Q138" s="14">
        <f>IF(MID(Q$49,6,1)="1",1,"")</f>
        <v/>
      </c>
      <c r="R138" s="14">
        <f>IF(MID(R$49,6,1)="1",1,"")</f>
        <v/>
      </c>
      <c r="S138" s="14">
        <f>IF(MID(S$49,6,1)="1",1,"")</f>
        <v/>
      </c>
      <c r="T138" s="14">
        <f>IF(MID(T$49,6,1)="1",1,"")</f>
        <v/>
      </c>
      <c r="U138" s="14">
        <f>IF(MID(U$49,6,1)="1",1,"")</f>
        <v/>
      </c>
      <c r="V138" s="14">
        <f>IF(MID(V$49,6,1)="1",1,"")</f>
        <v/>
      </c>
      <c r="W138" s="14">
        <f>IF(MID(W$49,6,1)="1",1,"")</f>
        <v/>
      </c>
      <c r="X138" s="14">
        <f>IF(MID(X$49,6,1)="1",1,"")</f>
        <v/>
      </c>
      <c r="Y138" s="14">
        <f>IF(MID(Y$49,6,1)="1",1,"")</f>
        <v/>
      </c>
      <c r="Z138" s="14">
        <f>IF(MID(Z$49,6,1)="1",1,"")</f>
        <v/>
      </c>
      <c r="AA138" s="14">
        <f>IF(MID(AA$49,6,1)="1",1,"")</f>
        <v/>
      </c>
      <c r="AB138" s="14">
        <f>IF(MID(AB$49,6,1)="1",1,"")</f>
        <v/>
      </c>
      <c r="AC138" s="14">
        <f>IF(MID(AC$49,6,1)="1",1,"")</f>
        <v/>
      </c>
      <c r="AD138" s="14">
        <f>IF(MID(AD$49,6,1)="1",1,"")</f>
        <v/>
      </c>
      <c r="AE138" s="14">
        <f>IF(MID(AE$49,6,1)="1",1,"")</f>
        <v/>
      </c>
      <c r="AF138" s="14">
        <f>IF(MID(AF$49,6,1)="1",1,"")</f>
        <v/>
      </c>
      <c r="AG138" s="14">
        <f>IF(MID(AG$49,6,1)="1",1,"")</f>
        <v/>
      </c>
      <c r="AH138" s="14">
        <f>IF(MID(AH$49,6,1)="1",1,"")</f>
        <v/>
      </c>
      <c r="AI138" s="14">
        <f>IF(MID(AI$49,6,1)="1",1,"")</f>
        <v/>
      </c>
      <c r="AJ138" s="14">
        <f>IF(MID(AJ$49,6,1)="1",1,"")</f>
        <v/>
      </c>
      <c r="AK138" s="14">
        <f>IF(MID(AK$49,6,1)="1",1,"")</f>
        <v/>
      </c>
    </row>
    <row r="139">
      <c r="B139" t="n">
        <v>83</v>
      </c>
      <c r="C139" s="15" t="inlineStr">
        <is>
          <t>OFV_ALU_FAIL</t>
        </is>
      </c>
      <c r="F139" s="9">
        <f>IF(MID(F$49,5,1)="1",1,"")</f>
        <v/>
      </c>
      <c r="G139" s="9">
        <f>IF(MID(G$49,5,1)="1",1,"")</f>
        <v/>
      </c>
      <c r="H139" s="9">
        <f>IF(MID(H$49,5,1)="1",1,"")</f>
        <v/>
      </c>
      <c r="I139" s="9">
        <f>IF(MID(I$49,5,1)="1",1,"")</f>
        <v/>
      </c>
      <c r="J139" s="9">
        <f>IF(MID(J$49,5,1)="1",1,"")</f>
        <v/>
      </c>
      <c r="K139" s="9">
        <f>IF(MID(K$49,5,1)="1",1,"")</f>
        <v/>
      </c>
      <c r="L139" s="9">
        <f>IF(MID(L$49,5,1)="1",1,"")</f>
        <v/>
      </c>
      <c r="M139" s="9">
        <f>IF(MID(M$49,5,1)="1",1,"")</f>
        <v/>
      </c>
      <c r="N139" s="9">
        <f>IF(MID(N$49,5,1)="1",1,"")</f>
        <v/>
      </c>
      <c r="O139" s="9">
        <f>IF(MID(O$49,5,1)="1",1,"")</f>
        <v/>
      </c>
      <c r="P139" s="9">
        <f>IF(MID(P$49,5,1)="1",1,"")</f>
        <v/>
      </c>
      <c r="Q139" s="9">
        <f>IF(MID(Q$49,5,1)="1",1,"")</f>
        <v/>
      </c>
      <c r="R139" s="9">
        <f>IF(MID(R$49,5,1)="1",1,"")</f>
        <v/>
      </c>
      <c r="S139" s="9">
        <f>IF(MID(S$49,5,1)="1",1,"")</f>
        <v/>
      </c>
      <c r="T139" s="9">
        <f>IF(MID(T$49,5,1)="1",1,"")</f>
        <v/>
      </c>
      <c r="U139" s="9">
        <f>IF(MID(U$49,5,1)="1",1,"")</f>
        <v/>
      </c>
      <c r="V139" s="9">
        <f>IF(MID(V$49,5,1)="1",1,"")</f>
        <v/>
      </c>
      <c r="W139" s="9">
        <f>IF(MID(W$49,5,1)="1",1,"")</f>
        <v/>
      </c>
      <c r="X139" s="9">
        <f>IF(MID(X$49,5,1)="1",1,"")</f>
        <v/>
      </c>
      <c r="Y139" s="9">
        <f>IF(MID(Y$49,5,1)="1",1,"")</f>
        <v/>
      </c>
      <c r="Z139" s="9">
        <f>IF(MID(Z$49,5,1)="1",1,"")</f>
        <v/>
      </c>
      <c r="AA139" s="9">
        <f>IF(MID(AA$49,5,1)="1",1,"")</f>
        <v/>
      </c>
      <c r="AB139" s="9">
        <f>IF(MID(AB$49,5,1)="1",1,"")</f>
        <v/>
      </c>
      <c r="AC139" s="9">
        <f>IF(MID(AC$49,5,1)="1",1,"")</f>
        <v/>
      </c>
      <c r="AD139" s="9">
        <f>IF(MID(AD$49,5,1)="1",1,"")</f>
        <v/>
      </c>
      <c r="AE139" s="9">
        <f>IF(MID(AE$49,5,1)="1",1,"")</f>
        <v/>
      </c>
      <c r="AF139" s="9">
        <f>IF(MID(AF$49,5,1)="1",1,"")</f>
        <v/>
      </c>
      <c r="AG139" s="9">
        <f>IF(MID(AG$49,5,1)="1",1,"")</f>
        <v/>
      </c>
      <c r="AH139" s="9">
        <f>IF(MID(AH$49,5,1)="1",1,"")</f>
        <v/>
      </c>
      <c r="AI139" s="9">
        <f>IF(MID(AI$49,5,1)="1",1,"")</f>
        <v/>
      </c>
      <c r="AJ139" s="9">
        <f>IF(MID(AJ$49,5,1)="1",1,"")</f>
        <v/>
      </c>
      <c r="AK139" s="9">
        <f>IF(MID(AK$49,5,1)="1",1,"")</f>
        <v/>
      </c>
    </row>
    <row r="140" customFormat="1" s="7">
      <c r="B140" s="7" t="n">
        <v>84</v>
      </c>
      <c r="C140" s="13" t="inlineStr">
        <is>
          <t>OFV_CHAN1_SEL</t>
        </is>
      </c>
      <c r="F140" s="14">
        <f>IF(MID(F$49,4,1)="1",1,"")</f>
        <v/>
      </c>
      <c r="G140" s="14">
        <f>IF(MID(G$49,4,1)="1",1,"")</f>
        <v/>
      </c>
      <c r="H140" s="14">
        <f>IF(MID(H$49,4,1)="1",1,"")</f>
        <v/>
      </c>
      <c r="I140" s="14">
        <f>IF(MID(I$49,4,1)="1",1,"")</f>
        <v/>
      </c>
      <c r="J140" s="14">
        <f>IF(MID(J$49,4,1)="1",1,"")</f>
        <v/>
      </c>
      <c r="K140" s="14">
        <f>IF(MID(K$49,4,1)="1",1,"")</f>
        <v/>
      </c>
      <c r="L140" s="14">
        <f>IF(MID(L$49,4,1)="1",1,"")</f>
        <v/>
      </c>
      <c r="M140" s="14">
        <f>IF(MID(M$49,4,1)="1",1,"")</f>
        <v/>
      </c>
      <c r="N140" s="14">
        <f>IF(MID(N$49,4,1)="1",1,"")</f>
        <v/>
      </c>
      <c r="O140" s="14">
        <f>IF(MID(O$49,4,1)="1",1,"")</f>
        <v/>
      </c>
      <c r="P140" s="14">
        <f>IF(MID(P$49,4,1)="1",1,"")</f>
        <v/>
      </c>
      <c r="Q140" s="14">
        <f>IF(MID(Q$49,4,1)="1",1,"")</f>
        <v/>
      </c>
      <c r="R140" s="14">
        <f>IF(MID(R$49,4,1)="1",1,"")</f>
        <v/>
      </c>
      <c r="S140" s="14">
        <f>IF(MID(S$49,4,1)="1",1,"")</f>
        <v/>
      </c>
      <c r="T140" s="14">
        <f>IF(MID(T$49,4,1)="1",1,"")</f>
        <v/>
      </c>
      <c r="U140" s="14">
        <f>IF(MID(U$49,4,1)="1",1,"")</f>
        <v/>
      </c>
      <c r="V140" s="14">
        <f>IF(MID(V$49,4,1)="1",1,"")</f>
        <v/>
      </c>
      <c r="W140" s="14">
        <f>IF(MID(W$49,4,1)="1",1,"")</f>
        <v/>
      </c>
      <c r="X140" s="14">
        <f>IF(MID(X$49,4,1)="1",1,"")</f>
        <v/>
      </c>
      <c r="Y140" s="14">
        <f>IF(MID(Y$49,4,1)="1",1,"")</f>
        <v/>
      </c>
      <c r="Z140" s="14">
        <f>IF(MID(Z$49,4,1)="1",1,"")</f>
        <v/>
      </c>
      <c r="AA140" s="14">
        <f>IF(MID(AA$49,4,1)="1",1,"")</f>
        <v/>
      </c>
      <c r="AB140" s="14">
        <f>IF(MID(AB$49,4,1)="1",1,"")</f>
        <v/>
      </c>
      <c r="AC140" s="14">
        <f>IF(MID(AC$49,4,1)="1",1,"")</f>
        <v/>
      </c>
      <c r="AD140" s="14">
        <f>IF(MID(AD$49,4,1)="1",1,"")</f>
        <v/>
      </c>
      <c r="AE140" s="14">
        <f>IF(MID(AE$49,4,1)="1",1,"")</f>
        <v/>
      </c>
      <c r="AF140" s="14">
        <f>IF(MID(AF$49,4,1)="1",1,"")</f>
        <v/>
      </c>
      <c r="AG140" s="14">
        <f>IF(MID(AG$49,4,1)="1",1,"")</f>
        <v/>
      </c>
      <c r="AH140" s="14">
        <f>IF(MID(AH$49,4,1)="1",1,"")</f>
        <v/>
      </c>
      <c r="AI140" s="14">
        <f>IF(MID(AI$49,4,1)="1",1,"")</f>
        <v/>
      </c>
      <c r="AJ140" s="14">
        <f>IF(MID(AJ$49,4,1)="1",1,"")</f>
        <v/>
      </c>
      <c r="AK140" s="14">
        <f>IF(MID(AK$49,4,1)="1",1,"")</f>
        <v/>
      </c>
    </row>
    <row r="141">
      <c r="B141" t="n">
        <v>85</v>
      </c>
      <c r="C141" s="15" t="inlineStr">
        <is>
          <t>UNUSED</t>
        </is>
      </c>
      <c r="F141" s="9">
        <f>IF(MID(F$49,3,1)="1",1,"")</f>
        <v/>
      </c>
      <c r="G141" s="9">
        <f>IF(MID(G$49,3,1)="1",1,"")</f>
        <v/>
      </c>
      <c r="H141" s="9">
        <f>IF(MID(H$49,3,1)="1",1,"")</f>
        <v/>
      </c>
      <c r="I141" s="9">
        <f>IF(MID(I$49,3,1)="1",1,"")</f>
        <v/>
      </c>
      <c r="J141" s="9">
        <f>IF(MID(J$49,3,1)="1",1,"")</f>
        <v/>
      </c>
      <c r="K141" s="9">
        <f>IF(MID(K$49,3,1)="1",1,"")</f>
        <v/>
      </c>
      <c r="L141" s="9">
        <f>IF(MID(L$49,3,1)="1",1,"")</f>
        <v/>
      </c>
      <c r="M141" s="9">
        <f>IF(MID(M$49,3,1)="1",1,"")</f>
        <v/>
      </c>
      <c r="N141" s="9">
        <f>IF(MID(N$49,3,1)="1",1,"")</f>
        <v/>
      </c>
      <c r="O141" s="9">
        <f>IF(MID(O$49,3,1)="1",1,"")</f>
        <v/>
      </c>
      <c r="P141" s="9">
        <f>IF(MID(P$49,3,1)="1",1,"")</f>
        <v/>
      </c>
      <c r="Q141" s="9">
        <f>IF(MID(Q$49,3,1)="1",1,"")</f>
        <v/>
      </c>
      <c r="R141" s="9">
        <f>IF(MID(R$49,3,1)="1",1,"")</f>
        <v/>
      </c>
      <c r="S141" s="9">
        <f>IF(MID(S$49,3,1)="1",1,"")</f>
        <v/>
      </c>
      <c r="T141" s="9">
        <f>IF(MID(T$49,3,1)="1",1,"")</f>
        <v/>
      </c>
      <c r="U141" s="9">
        <f>IF(MID(U$49,3,1)="1",1,"")</f>
        <v/>
      </c>
      <c r="V141" s="9">
        <f>IF(MID(V$49,3,1)="1",1,"")</f>
        <v/>
      </c>
      <c r="W141" s="9">
        <f>IF(MID(W$49,3,1)="1",1,"")</f>
        <v/>
      </c>
      <c r="X141" s="9">
        <f>IF(MID(X$49,3,1)="1",1,"")</f>
        <v/>
      </c>
      <c r="Y141" s="9">
        <f>IF(MID(Y$49,3,1)="1",1,"")</f>
        <v/>
      </c>
      <c r="Z141" s="9">
        <f>IF(MID(Z$49,3,1)="1",1,"")</f>
        <v/>
      </c>
      <c r="AA141" s="9">
        <f>IF(MID(AA$49,3,1)="1",1,"")</f>
        <v/>
      </c>
      <c r="AB141" s="9">
        <f>IF(MID(AB$49,3,1)="1",1,"")</f>
        <v/>
      </c>
      <c r="AC141" s="9">
        <f>IF(MID(AC$49,3,1)="1",1,"")</f>
        <v/>
      </c>
      <c r="AD141" s="9">
        <f>IF(MID(AD$49,3,1)="1",1,"")</f>
        <v/>
      </c>
      <c r="AE141" s="9">
        <f>IF(MID(AE$49,3,1)="1",1,"")</f>
        <v/>
      </c>
      <c r="AF141" s="9">
        <f>IF(MID(AF$49,3,1)="1",1,"")</f>
        <v/>
      </c>
      <c r="AG141" s="9">
        <f>IF(MID(AG$49,3,1)="1",1,"")</f>
        <v/>
      </c>
      <c r="AH141" s="9">
        <f>IF(MID(AH$49,3,1)="1",1,"")</f>
        <v/>
      </c>
      <c r="AI141" s="9">
        <f>IF(MID(AI$49,3,1)="1",1,"")</f>
        <v/>
      </c>
      <c r="AJ141" s="9">
        <f>IF(MID(AJ$49,3,1)="1",1,"")</f>
        <v/>
      </c>
      <c r="AK141" s="9">
        <f>IF(MID(AK$49,3,1)="1",1,"")</f>
        <v/>
      </c>
    </row>
    <row r="142" customFormat="1" s="7">
      <c r="B142" s="7" t="n">
        <v>86</v>
      </c>
      <c r="C142" s="13" t="inlineStr">
        <is>
          <t>UNUSED</t>
        </is>
      </c>
      <c r="F142" s="14">
        <f>IF(MID(F$49,2,1)="1",1,"")</f>
        <v/>
      </c>
      <c r="G142" s="14">
        <f>IF(MID(G$49,2,1)="1",1,"")</f>
        <v/>
      </c>
      <c r="H142" s="14">
        <f>IF(MID(H$49,2,1)="1",1,"")</f>
        <v/>
      </c>
      <c r="I142" s="14">
        <f>IF(MID(I$49,2,1)="1",1,"")</f>
        <v/>
      </c>
      <c r="J142" s="14">
        <f>IF(MID(J$49,2,1)="1",1,"")</f>
        <v/>
      </c>
      <c r="K142" s="14">
        <f>IF(MID(K$49,2,1)="1",1,"")</f>
        <v/>
      </c>
      <c r="L142" s="14">
        <f>IF(MID(L$49,2,1)="1",1,"")</f>
        <v/>
      </c>
      <c r="M142" s="14">
        <f>IF(MID(M$49,2,1)="1",1,"")</f>
        <v/>
      </c>
      <c r="N142" s="14">
        <f>IF(MID(N$49,2,1)="1",1,"")</f>
        <v/>
      </c>
      <c r="O142" s="14">
        <f>IF(MID(O$49,2,1)="1",1,"")</f>
        <v/>
      </c>
      <c r="P142" s="14">
        <f>IF(MID(P$49,2,1)="1",1,"")</f>
        <v/>
      </c>
      <c r="Q142" s="14">
        <f>IF(MID(Q$49,2,1)="1",1,"")</f>
        <v/>
      </c>
      <c r="R142" s="14">
        <f>IF(MID(R$49,2,1)="1",1,"")</f>
        <v/>
      </c>
      <c r="S142" s="14">
        <f>IF(MID(S$49,2,1)="1",1,"")</f>
        <v/>
      </c>
      <c r="T142" s="14">
        <f>IF(MID(T$49,2,1)="1",1,"")</f>
        <v/>
      </c>
      <c r="U142" s="14">
        <f>IF(MID(U$49,2,1)="1",1,"")</f>
        <v/>
      </c>
      <c r="V142" s="14">
        <f>IF(MID(V$49,2,1)="1",1,"")</f>
        <v/>
      </c>
      <c r="W142" s="14">
        <f>IF(MID(W$49,2,1)="1",1,"")</f>
        <v/>
      </c>
      <c r="X142" s="14">
        <f>IF(MID(X$49,2,1)="1",1,"")</f>
        <v/>
      </c>
      <c r="Y142" s="14">
        <f>IF(MID(Y$49,2,1)="1",1,"")</f>
        <v/>
      </c>
      <c r="Z142" s="14">
        <f>IF(MID(Z$49,2,1)="1",1,"")</f>
        <v/>
      </c>
      <c r="AA142" s="14">
        <f>IF(MID(AA$49,2,1)="1",1,"")</f>
        <v/>
      </c>
      <c r="AB142" s="14">
        <f>IF(MID(AB$49,2,1)="1",1,"")</f>
        <v/>
      </c>
      <c r="AC142" s="14">
        <f>IF(MID(AC$49,2,1)="1",1,"")</f>
        <v/>
      </c>
      <c r="AD142" s="14">
        <f>IF(MID(AD$49,2,1)="1",1,"")</f>
        <v/>
      </c>
      <c r="AE142" s="14">
        <f>IF(MID(AE$49,2,1)="1",1,"")</f>
        <v/>
      </c>
      <c r="AF142" s="14">
        <f>IF(MID(AF$49,2,1)="1",1,"")</f>
        <v/>
      </c>
      <c r="AG142" s="14">
        <f>IF(MID(AG$49,2,1)="1",1,"")</f>
        <v/>
      </c>
      <c r="AH142" s="14">
        <f>IF(MID(AH$49,2,1)="1",1,"")</f>
        <v/>
      </c>
      <c r="AI142" s="14">
        <f>IF(MID(AI$49,2,1)="1",1,"")</f>
        <v/>
      </c>
      <c r="AJ142" s="14">
        <f>IF(MID(AJ$49,2,1)="1",1,"")</f>
        <v/>
      </c>
      <c r="AK142" s="14">
        <f>IF(MID(AK$49,2,1)="1",1,"")</f>
        <v/>
      </c>
    </row>
    <row r="143">
      <c r="B143" t="n">
        <v>87</v>
      </c>
      <c r="C143" s="15" t="inlineStr">
        <is>
          <t>OFV_A/D_CONVERT_FAIL</t>
        </is>
      </c>
      <c r="F143" s="9">
        <f>IF(MID(F$49,1,1)="1",1,"")</f>
        <v/>
      </c>
      <c r="G143" s="9">
        <f>IF(MID(G$49,1,1)="1",1,"")</f>
        <v/>
      </c>
      <c r="H143" s="9">
        <f>IF(MID(H$49,1,1)="1",1,"")</f>
        <v/>
      </c>
      <c r="I143" s="9">
        <f>IF(MID(I$49,1,1)="1",1,"")</f>
        <v/>
      </c>
      <c r="J143" s="9">
        <f>IF(MID(J$49,1,1)="1",1,"")</f>
        <v/>
      </c>
      <c r="K143" s="9">
        <f>IF(MID(K$49,1,1)="1",1,"")</f>
        <v/>
      </c>
      <c r="L143" s="9">
        <f>IF(MID(L$49,1,1)="1",1,"")</f>
        <v/>
      </c>
      <c r="M143" s="9">
        <f>IF(MID(M$49,1,1)="1",1,"")</f>
        <v/>
      </c>
      <c r="N143" s="9">
        <f>IF(MID(N$49,1,1)="1",1,"")</f>
        <v/>
      </c>
      <c r="O143" s="9">
        <f>IF(MID(O$49,1,1)="1",1,"")</f>
        <v/>
      </c>
      <c r="P143" s="9">
        <f>IF(MID(P$49,1,1)="1",1,"")</f>
        <v/>
      </c>
      <c r="Q143" s="9">
        <f>IF(MID(Q$49,1,1)="1",1,"")</f>
        <v/>
      </c>
      <c r="R143" s="9">
        <f>IF(MID(R$49,1,1)="1",1,"")</f>
        <v/>
      </c>
      <c r="S143" s="9">
        <f>IF(MID(S$49,1,1)="1",1,"")</f>
        <v/>
      </c>
      <c r="T143" s="9">
        <f>IF(MID(T$49,1,1)="1",1,"")</f>
        <v/>
      </c>
      <c r="U143" s="9">
        <f>IF(MID(U$49,1,1)="1",1,"")</f>
        <v/>
      </c>
      <c r="V143" s="9">
        <f>IF(MID(V$49,1,1)="1",1,"")</f>
        <v/>
      </c>
      <c r="W143" s="9">
        <f>IF(MID(W$49,1,1)="1",1,"")</f>
        <v/>
      </c>
      <c r="X143" s="9">
        <f>IF(MID(X$49,1,1)="1",1,"")</f>
        <v/>
      </c>
      <c r="Y143" s="9">
        <f>IF(MID(Y$49,1,1)="1",1,"")</f>
        <v/>
      </c>
      <c r="Z143" s="9">
        <f>IF(MID(Z$49,1,1)="1",1,"")</f>
        <v/>
      </c>
      <c r="AA143" s="9">
        <f>IF(MID(AA$49,1,1)="1",1,"")</f>
        <v/>
      </c>
      <c r="AB143" s="9">
        <f>IF(MID(AB$49,1,1)="1",1,"")</f>
        <v/>
      </c>
      <c r="AC143" s="9">
        <f>IF(MID(AC$49,1,1)="1",1,"")</f>
        <v/>
      </c>
      <c r="AD143" s="9">
        <f>IF(MID(AD$49,1,1)="1",1,"")</f>
        <v/>
      </c>
      <c r="AE143" s="9">
        <f>IF(MID(AE$49,1,1)="1",1,"")</f>
        <v/>
      </c>
      <c r="AF143" s="9">
        <f>IF(MID(AF$49,1,1)="1",1,"")</f>
        <v/>
      </c>
      <c r="AG143" s="9">
        <f>IF(MID(AG$49,1,1)="1",1,"")</f>
        <v/>
      </c>
      <c r="AH143" s="9">
        <f>IF(MID(AH$49,1,1)="1",1,"")</f>
        <v/>
      </c>
      <c r="AI143" s="9">
        <f>IF(MID(AI$49,1,1)="1",1,"")</f>
        <v/>
      </c>
      <c r="AJ143" s="9">
        <f>IF(MID(AJ$49,1,1)="1",1,"")</f>
        <v/>
      </c>
      <c r="AK143" s="9">
        <f>IF(MID(AK$49,1,1)="1",1,"")</f>
        <v/>
      </c>
    </row>
    <row r="144" customFormat="1" s="7">
      <c r="B144" s="7" t="n">
        <v>88</v>
      </c>
      <c r="C144" s="13" t="inlineStr">
        <is>
          <t>OFV_HALL_SENSOR_FAIL</t>
        </is>
      </c>
      <c r="F144" s="14">
        <f>IF(MID(F$50,8,1)="1",1,"")</f>
        <v/>
      </c>
      <c r="G144" s="14">
        <f>IF(MID(G$50,8,1)="1",1,"")</f>
        <v/>
      </c>
      <c r="H144" s="14">
        <f>IF(MID(H$50,8,1)="1",1,"")</f>
        <v/>
      </c>
      <c r="I144" s="14">
        <f>IF(MID(I$50,8,1)="1",1,"")</f>
        <v/>
      </c>
      <c r="J144" s="14">
        <f>IF(MID(J$50,8,1)="1",1,"")</f>
        <v/>
      </c>
      <c r="K144" s="14">
        <f>IF(MID(K$50,8,1)="1",1,"")</f>
        <v/>
      </c>
      <c r="L144" s="14">
        <f>IF(MID(L$50,8,1)="1",1,"")</f>
        <v/>
      </c>
      <c r="M144" s="14">
        <f>IF(MID(M$50,8,1)="1",1,"")</f>
        <v/>
      </c>
      <c r="N144" s="14">
        <f>IF(MID(N$50,8,1)="1",1,"")</f>
        <v/>
      </c>
      <c r="O144" s="14">
        <f>IF(MID(O$50,8,1)="1",1,"")</f>
        <v/>
      </c>
      <c r="P144" s="14">
        <f>IF(MID(P$50,8,1)="1",1,"")</f>
        <v/>
      </c>
      <c r="Q144" s="14">
        <f>IF(MID(Q$50,8,1)="1",1,"")</f>
        <v/>
      </c>
      <c r="R144" s="14">
        <f>IF(MID(R$50,8,1)="1",1,"")</f>
        <v/>
      </c>
      <c r="S144" s="14">
        <f>IF(MID(S$50,8,1)="1",1,"")</f>
        <v/>
      </c>
      <c r="T144" s="14">
        <f>IF(MID(T$50,8,1)="1",1,"")</f>
        <v/>
      </c>
      <c r="U144" s="14">
        <f>IF(MID(U$50,8,1)="1",1,"")</f>
        <v/>
      </c>
      <c r="V144" s="14">
        <f>IF(MID(V$50,8,1)="1",1,"")</f>
        <v/>
      </c>
      <c r="W144" s="14">
        <f>IF(MID(W$50,8,1)="1",1,"")</f>
        <v/>
      </c>
      <c r="X144" s="14">
        <f>IF(MID(X$50,8,1)="1",1,"")</f>
        <v/>
      </c>
      <c r="Y144" s="14">
        <f>IF(MID(Y$50,8,1)="1",1,"")</f>
        <v/>
      </c>
      <c r="Z144" s="14">
        <f>IF(MID(Z$50,8,1)="1",1,"")</f>
        <v/>
      </c>
      <c r="AA144" s="14">
        <f>IF(MID(AA$50,8,1)="1",1,"")</f>
        <v/>
      </c>
      <c r="AB144" s="14">
        <f>IF(MID(AB$50,8,1)="1",1,"")</f>
        <v/>
      </c>
      <c r="AC144" s="14">
        <f>IF(MID(AC$50,8,1)="1",1,"")</f>
        <v/>
      </c>
      <c r="AD144" s="14">
        <f>IF(MID(AD$50,8,1)="1",1,"")</f>
        <v/>
      </c>
      <c r="AE144" s="14">
        <f>IF(MID(AE$50,8,1)="1",1,"")</f>
        <v/>
      </c>
      <c r="AF144" s="14">
        <f>IF(MID(AF$50,8,1)="1",1,"")</f>
        <v/>
      </c>
      <c r="AG144" s="14">
        <f>IF(MID(AG$50,8,1)="1",1,"")</f>
        <v/>
      </c>
      <c r="AH144" s="14">
        <f>IF(MID(AH$50,8,1)="1",1,"")</f>
        <v/>
      </c>
      <c r="AI144" s="14">
        <f>IF(MID(AI$50,8,1)="1",1,"")</f>
        <v/>
      </c>
      <c r="AJ144" s="14">
        <f>IF(MID(AJ$50,8,1)="1",1,"")</f>
        <v/>
      </c>
      <c r="AK144" s="14">
        <f>IF(MID(AK$50,8,1)="1",1,"")</f>
        <v/>
      </c>
    </row>
    <row r="145">
      <c r="B145" t="n">
        <v>89</v>
      </c>
      <c r="C145" s="15" t="inlineStr">
        <is>
          <t>OFV_SW_INTR_FAIL</t>
        </is>
      </c>
      <c r="F145" s="9">
        <f>IF(MID(F$50,7,1)="1",1,"")</f>
        <v/>
      </c>
      <c r="G145" s="9">
        <f>IF(MID(G$50,7,1)="1",1,"")</f>
        <v/>
      </c>
      <c r="H145" s="9">
        <f>IF(MID(H$50,7,1)="1",1,"")</f>
        <v/>
      </c>
      <c r="I145" s="9">
        <f>IF(MID(I$50,7,1)="1",1,"")</f>
        <v/>
      </c>
      <c r="J145" s="9">
        <f>IF(MID(J$50,7,1)="1",1,"")</f>
        <v/>
      </c>
      <c r="K145" s="9">
        <f>IF(MID(K$50,7,1)="1",1,"")</f>
        <v/>
      </c>
      <c r="L145" s="9">
        <f>IF(MID(L$50,7,1)="1",1,"")</f>
        <v/>
      </c>
      <c r="M145" s="9">
        <f>IF(MID(M$50,7,1)="1",1,"")</f>
        <v/>
      </c>
      <c r="N145" s="9">
        <f>IF(MID(N$50,7,1)="1",1,"")</f>
        <v/>
      </c>
      <c r="O145" s="9">
        <f>IF(MID(O$50,7,1)="1",1,"")</f>
        <v/>
      </c>
      <c r="P145" s="9">
        <f>IF(MID(P$50,7,1)="1",1,"")</f>
        <v/>
      </c>
      <c r="Q145" s="9">
        <f>IF(MID(Q$50,7,1)="1",1,"")</f>
        <v/>
      </c>
      <c r="R145" s="9">
        <f>IF(MID(R$50,7,1)="1",1,"")</f>
        <v/>
      </c>
      <c r="S145" s="9">
        <f>IF(MID(S$50,7,1)="1",1,"")</f>
        <v/>
      </c>
      <c r="T145" s="9">
        <f>IF(MID(T$50,7,1)="1",1,"")</f>
        <v/>
      </c>
      <c r="U145" s="9">
        <f>IF(MID(U$50,7,1)="1",1,"")</f>
        <v/>
      </c>
      <c r="V145" s="9">
        <f>IF(MID(V$50,7,1)="1",1,"")</f>
        <v/>
      </c>
      <c r="W145" s="9">
        <f>IF(MID(W$50,7,1)="1",1,"")</f>
        <v/>
      </c>
      <c r="X145" s="9">
        <f>IF(MID(X$50,7,1)="1",1,"")</f>
        <v/>
      </c>
      <c r="Y145" s="9">
        <f>IF(MID(Y$50,7,1)="1",1,"")</f>
        <v/>
      </c>
      <c r="Z145" s="9">
        <f>IF(MID(Z$50,7,1)="1",1,"")</f>
        <v/>
      </c>
      <c r="AA145" s="9">
        <f>IF(MID(AA$50,7,1)="1",1,"")</f>
        <v/>
      </c>
      <c r="AB145" s="9">
        <f>IF(MID(AB$50,7,1)="1",1,"")</f>
        <v/>
      </c>
      <c r="AC145" s="9">
        <f>IF(MID(AC$50,7,1)="1",1,"")</f>
        <v/>
      </c>
      <c r="AD145" s="9">
        <f>IF(MID(AD$50,7,1)="1",1,"")</f>
        <v/>
      </c>
      <c r="AE145" s="9">
        <f>IF(MID(AE$50,7,1)="1",1,"")</f>
        <v/>
      </c>
      <c r="AF145" s="9">
        <f>IF(MID(AF$50,7,1)="1",1,"")</f>
        <v/>
      </c>
      <c r="AG145" s="9">
        <f>IF(MID(AG$50,7,1)="1",1,"")</f>
        <v/>
      </c>
      <c r="AH145" s="9">
        <f>IF(MID(AH$50,7,1)="1",1,"")</f>
        <v/>
      </c>
      <c r="AI145" s="9">
        <f>IF(MID(AI$50,7,1)="1",1,"")</f>
        <v/>
      </c>
      <c r="AJ145" s="9">
        <f>IF(MID(AJ$50,7,1)="1",1,"")</f>
        <v/>
      </c>
      <c r="AK145" s="9">
        <f>IF(MID(AK$50,7,1)="1",1,"")</f>
        <v/>
      </c>
    </row>
    <row r="146" customFormat="1" s="7">
      <c r="B146" s="7" t="n">
        <v>90</v>
      </c>
      <c r="C146" s="13" t="inlineStr">
        <is>
          <t>OFV_CAB_PRESS_SWITCH_ACTIVE</t>
        </is>
      </c>
      <c r="F146" s="14">
        <f>IF(MID(F$50,6,1)="1",1,"")</f>
        <v/>
      </c>
      <c r="G146" s="14">
        <f>IF(MID(G$50,6,1)="1",1,"")</f>
        <v/>
      </c>
      <c r="H146" s="14">
        <f>IF(MID(H$50,6,1)="1",1,"")</f>
        <v/>
      </c>
      <c r="I146" s="14">
        <f>IF(MID(I$50,6,1)="1",1,"")</f>
        <v/>
      </c>
      <c r="J146" s="14">
        <f>IF(MID(J$50,6,1)="1",1,"")</f>
        <v/>
      </c>
      <c r="K146" s="14">
        <f>IF(MID(K$50,6,1)="1",1,"")</f>
        <v/>
      </c>
      <c r="L146" s="14">
        <f>IF(MID(L$50,6,1)="1",1,"")</f>
        <v/>
      </c>
      <c r="M146" s="14">
        <f>IF(MID(M$50,6,1)="1",1,"")</f>
        <v/>
      </c>
      <c r="N146" s="14">
        <f>IF(MID(N$50,6,1)="1",1,"")</f>
        <v/>
      </c>
      <c r="O146" s="14">
        <f>IF(MID(O$50,6,1)="1",1,"")</f>
        <v/>
      </c>
      <c r="P146" s="14">
        <f>IF(MID(P$50,6,1)="1",1,"")</f>
        <v/>
      </c>
      <c r="Q146" s="14">
        <f>IF(MID(Q$50,6,1)="1",1,"")</f>
        <v/>
      </c>
      <c r="R146" s="14">
        <f>IF(MID(R$50,6,1)="1",1,"")</f>
        <v/>
      </c>
      <c r="S146" s="14">
        <f>IF(MID(S$50,6,1)="1",1,"")</f>
        <v/>
      </c>
      <c r="T146" s="14">
        <f>IF(MID(T$50,6,1)="1",1,"")</f>
        <v/>
      </c>
      <c r="U146" s="14">
        <f>IF(MID(U$50,6,1)="1",1,"")</f>
        <v/>
      </c>
      <c r="V146" s="14">
        <f>IF(MID(V$50,6,1)="1",1,"")</f>
        <v/>
      </c>
      <c r="W146" s="14">
        <f>IF(MID(W$50,6,1)="1",1,"")</f>
        <v/>
      </c>
      <c r="X146" s="14">
        <f>IF(MID(X$50,6,1)="1",1,"")</f>
        <v/>
      </c>
      <c r="Y146" s="14">
        <f>IF(MID(Y$50,6,1)="1",1,"")</f>
        <v/>
      </c>
      <c r="Z146" s="14">
        <f>IF(MID(Z$50,6,1)="1",1,"")</f>
        <v/>
      </c>
      <c r="AA146" s="14">
        <f>IF(MID(AA$50,6,1)="1",1,"")</f>
        <v/>
      </c>
      <c r="AB146" s="14">
        <f>IF(MID(AB$50,6,1)="1",1,"")</f>
        <v/>
      </c>
      <c r="AC146" s="14">
        <f>IF(MID(AC$50,6,1)="1",1,"")</f>
        <v/>
      </c>
      <c r="AD146" s="14">
        <f>IF(MID(AD$50,6,1)="1",1,"")</f>
        <v/>
      </c>
      <c r="AE146" s="14">
        <f>IF(MID(AE$50,6,1)="1",1,"")</f>
        <v/>
      </c>
      <c r="AF146" s="14">
        <f>IF(MID(AF$50,6,1)="1",1,"")</f>
        <v/>
      </c>
      <c r="AG146" s="14">
        <f>IF(MID(AG$50,6,1)="1",1,"")</f>
        <v/>
      </c>
      <c r="AH146" s="14">
        <f>IF(MID(AH$50,6,1)="1",1,"")</f>
        <v/>
      </c>
      <c r="AI146" s="14">
        <f>IF(MID(AI$50,6,1)="1",1,"")</f>
        <v/>
      </c>
      <c r="AJ146" s="14">
        <f>IF(MID(AJ$50,6,1)="1",1,"")</f>
        <v/>
      </c>
      <c r="AK146" s="14">
        <f>IF(MID(AK$50,6,1)="1",1,"")</f>
        <v/>
      </c>
    </row>
    <row r="147">
      <c r="B147" t="n">
        <v>91</v>
      </c>
      <c r="C147" s="15" t="inlineStr">
        <is>
          <t>OFV_RS422_MESSAGE_FAIL</t>
        </is>
      </c>
      <c r="F147" s="9">
        <f>IF(MID(F$50,5,1)="1",1,"")</f>
        <v/>
      </c>
      <c r="G147" s="9">
        <f>IF(MID(G$50,5,1)="1",1,"")</f>
        <v/>
      </c>
      <c r="H147" s="9">
        <f>IF(MID(H$50,5,1)="1",1,"")</f>
        <v/>
      </c>
      <c r="I147" s="9">
        <f>IF(MID(I$50,5,1)="1",1,"")</f>
        <v/>
      </c>
      <c r="J147" s="9">
        <f>IF(MID(J$50,5,1)="1",1,"")</f>
        <v/>
      </c>
      <c r="K147" s="9">
        <f>IF(MID(K$50,5,1)="1",1,"")</f>
        <v/>
      </c>
      <c r="L147" s="9">
        <f>IF(MID(L$50,5,1)="1",1,"")</f>
        <v/>
      </c>
      <c r="M147" s="9">
        <f>IF(MID(M$50,5,1)="1",1,"")</f>
        <v/>
      </c>
      <c r="N147" s="9">
        <f>IF(MID(N$50,5,1)="1",1,"")</f>
        <v/>
      </c>
      <c r="O147" s="9">
        <f>IF(MID(O$50,5,1)="1",1,"")</f>
        <v/>
      </c>
      <c r="P147" s="9">
        <f>IF(MID(P$50,5,1)="1",1,"")</f>
        <v/>
      </c>
      <c r="Q147" s="9">
        <f>IF(MID(Q$50,5,1)="1",1,"")</f>
        <v/>
      </c>
      <c r="R147" s="9">
        <f>IF(MID(R$50,5,1)="1",1,"")</f>
        <v/>
      </c>
      <c r="S147" s="9">
        <f>IF(MID(S$50,5,1)="1",1,"")</f>
        <v/>
      </c>
      <c r="T147" s="9">
        <f>IF(MID(T$50,5,1)="1",1,"")</f>
        <v/>
      </c>
      <c r="U147" s="9">
        <f>IF(MID(U$50,5,1)="1",1,"")</f>
        <v/>
      </c>
      <c r="V147" s="9">
        <f>IF(MID(V$50,5,1)="1",1,"")</f>
        <v/>
      </c>
      <c r="W147" s="9">
        <f>IF(MID(W$50,5,1)="1",1,"")</f>
        <v/>
      </c>
      <c r="X147" s="9">
        <f>IF(MID(X$50,5,1)="1",1,"")</f>
        <v/>
      </c>
      <c r="Y147" s="9">
        <f>IF(MID(Y$50,5,1)="1",1,"")</f>
        <v/>
      </c>
      <c r="Z147" s="9">
        <f>IF(MID(Z$50,5,1)="1",1,"")</f>
        <v/>
      </c>
      <c r="AA147" s="9">
        <f>IF(MID(AA$50,5,1)="1",1,"")</f>
        <v/>
      </c>
      <c r="AB147" s="9">
        <f>IF(MID(AB$50,5,1)="1",1,"")</f>
        <v/>
      </c>
      <c r="AC147" s="9">
        <f>IF(MID(AC$50,5,1)="1",1,"")</f>
        <v/>
      </c>
      <c r="AD147" s="9">
        <f>IF(MID(AD$50,5,1)="1",1,"")</f>
        <v/>
      </c>
      <c r="AE147" s="9">
        <f>IF(MID(AE$50,5,1)="1",1,"")</f>
        <v/>
      </c>
      <c r="AF147" s="9">
        <f>IF(MID(AF$50,5,1)="1",1,"")</f>
        <v/>
      </c>
      <c r="AG147" s="9">
        <f>IF(MID(AG$50,5,1)="1",1,"")</f>
        <v/>
      </c>
      <c r="AH147" s="9">
        <f>IF(MID(AH$50,5,1)="1",1,"")</f>
        <v/>
      </c>
      <c r="AI147" s="9">
        <f>IF(MID(AI$50,5,1)="1",1,"")</f>
        <v/>
      </c>
      <c r="AJ147" s="9">
        <f>IF(MID(AJ$50,5,1)="1",1,"")</f>
        <v/>
      </c>
      <c r="AK147" s="9">
        <f>IF(MID(AK$50,5,1)="1",1,"")</f>
        <v/>
      </c>
    </row>
    <row r="148" customFormat="1" s="7">
      <c r="B148" s="7" t="n">
        <v>92</v>
      </c>
      <c r="C148" s="13" t="inlineStr">
        <is>
          <t>OFV_AC_PIN_PROG_FAIL</t>
        </is>
      </c>
      <c r="F148" s="14">
        <f>IF(MID(F$50,4,1)="1",1,"")</f>
        <v/>
      </c>
      <c r="G148" s="14">
        <f>IF(MID(G$50,4,1)="1",1,"")</f>
        <v/>
      </c>
      <c r="H148" s="14">
        <f>IF(MID(H$50,4,1)="1",1,"")</f>
        <v/>
      </c>
      <c r="I148" s="14">
        <f>IF(MID(I$50,4,1)="1",1,"")</f>
        <v/>
      </c>
      <c r="J148" s="14">
        <f>IF(MID(J$50,4,1)="1",1,"")</f>
        <v/>
      </c>
      <c r="K148" s="14">
        <f>IF(MID(K$50,4,1)="1",1,"")</f>
        <v/>
      </c>
      <c r="L148" s="14">
        <f>IF(MID(L$50,4,1)="1",1,"")</f>
        <v/>
      </c>
      <c r="M148" s="14">
        <f>IF(MID(M$50,4,1)="1",1,"")</f>
        <v/>
      </c>
      <c r="N148" s="14">
        <f>IF(MID(N$50,4,1)="1",1,"")</f>
        <v/>
      </c>
      <c r="O148" s="14">
        <f>IF(MID(O$50,4,1)="1",1,"")</f>
        <v/>
      </c>
      <c r="P148" s="14">
        <f>IF(MID(P$50,4,1)="1",1,"")</f>
        <v/>
      </c>
      <c r="Q148" s="14">
        <f>IF(MID(Q$50,4,1)="1",1,"")</f>
        <v/>
      </c>
      <c r="R148" s="14">
        <f>IF(MID(R$50,4,1)="1",1,"")</f>
        <v/>
      </c>
      <c r="S148" s="14">
        <f>IF(MID(S$50,4,1)="1",1,"")</f>
        <v/>
      </c>
      <c r="T148" s="14">
        <f>IF(MID(T$50,4,1)="1",1,"")</f>
        <v/>
      </c>
      <c r="U148" s="14">
        <f>IF(MID(U$50,4,1)="1",1,"")</f>
        <v/>
      </c>
      <c r="V148" s="14">
        <f>IF(MID(V$50,4,1)="1",1,"")</f>
        <v/>
      </c>
      <c r="W148" s="14">
        <f>IF(MID(W$50,4,1)="1",1,"")</f>
        <v/>
      </c>
      <c r="X148" s="14">
        <f>IF(MID(X$50,4,1)="1",1,"")</f>
        <v/>
      </c>
      <c r="Y148" s="14">
        <f>IF(MID(Y$50,4,1)="1",1,"")</f>
        <v/>
      </c>
      <c r="Z148" s="14">
        <f>IF(MID(Z$50,4,1)="1",1,"")</f>
        <v/>
      </c>
      <c r="AA148" s="14">
        <f>IF(MID(AA$50,4,1)="1",1,"")</f>
        <v/>
      </c>
      <c r="AB148" s="14">
        <f>IF(MID(AB$50,4,1)="1",1,"")</f>
        <v/>
      </c>
      <c r="AC148" s="14">
        <f>IF(MID(AC$50,4,1)="1",1,"")</f>
        <v/>
      </c>
      <c r="AD148" s="14">
        <f>IF(MID(AD$50,4,1)="1",1,"")</f>
        <v/>
      </c>
      <c r="AE148" s="14">
        <f>IF(MID(AE$50,4,1)="1",1,"")</f>
        <v/>
      </c>
      <c r="AF148" s="14">
        <f>IF(MID(AF$50,4,1)="1",1,"")</f>
        <v/>
      </c>
      <c r="AG148" s="14">
        <f>IF(MID(AG$50,4,1)="1",1,"")</f>
        <v/>
      </c>
      <c r="AH148" s="14">
        <f>IF(MID(AH$50,4,1)="1",1,"")</f>
        <v/>
      </c>
      <c r="AI148" s="14">
        <f>IF(MID(AI$50,4,1)="1",1,"")</f>
        <v/>
      </c>
      <c r="AJ148" s="14">
        <f>IF(MID(AJ$50,4,1)="1",1,"")</f>
        <v/>
      </c>
      <c r="AK148" s="14">
        <f>IF(MID(AK$50,4,1)="1",1,"")</f>
        <v/>
      </c>
    </row>
    <row r="149">
      <c r="B149" t="n">
        <v>93</v>
      </c>
      <c r="C149" s="15" t="inlineStr">
        <is>
          <t>OFV_PRESS_SENSOR_FAIL</t>
        </is>
      </c>
      <c r="F149" s="9">
        <f>IF(MID(F$50,3,1)="1",1,"")</f>
        <v/>
      </c>
      <c r="G149" s="9">
        <f>IF(MID(G$50,3,1)="1",1,"")</f>
        <v/>
      </c>
      <c r="H149" s="9">
        <f>IF(MID(H$50,3,1)="1",1,"")</f>
        <v/>
      </c>
      <c r="I149" s="9">
        <f>IF(MID(I$50,3,1)="1",1,"")</f>
        <v/>
      </c>
      <c r="J149" s="9">
        <f>IF(MID(J$50,3,1)="1",1,"")</f>
        <v/>
      </c>
      <c r="K149" s="9">
        <f>IF(MID(K$50,3,1)="1",1,"")</f>
        <v/>
      </c>
      <c r="L149" s="9">
        <f>IF(MID(L$50,3,1)="1",1,"")</f>
        <v/>
      </c>
      <c r="M149" s="9">
        <f>IF(MID(M$50,3,1)="1",1,"")</f>
        <v/>
      </c>
      <c r="N149" s="9">
        <f>IF(MID(N$50,3,1)="1",1,"")</f>
        <v/>
      </c>
      <c r="O149" s="9">
        <f>IF(MID(O$50,3,1)="1",1,"")</f>
        <v/>
      </c>
      <c r="P149" s="9">
        <f>IF(MID(P$50,3,1)="1",1,"")</f>
        <v/>
      </c>
      <c r="Q149" s="9">
        <f>IF(MID(Q$50,3,1)="1",1,"")</f>
        <v/>
      </c>
      <c r="R149" s="9">
        <f>IF(MID(R$50,3,1)="1",1,"")</f>
        <v/>
      </c>
      <c r="S149" s="9">
        <f>IF(MID(S$50,3,1)="1",1,"")</f>
        <v/>
      </c>
      <c r="T149" s="9">
        <f>IF(MID(T$50,3,1)="1",1,"")</f>
        <v/>
      </c>
      <c r="U149" s="9">
        <f>IF(MID(U$50,3,1)="1",1,"")</f>
        <v/>
      </c>
      <c r="V149" s="9">
        <f>IF(MID(V$50,3,1)="1",1,"")</f>
        <v/>
      </c>
      <c r="W149" s="9">
        <f>IF(MID(W$50,3,1)="1",1,"")</f>
        <v/>
      </c>
      <c r="X149" s="9">
        <f>IF(MID(X$50,3,1)="1",1,"")</f>
        <v/>
      </c>
      <c r="Y149" s="9">
        <f>IF(MID(Y$50,3,1)="1",1,"")</f>
        <v/>
      </c>
      <c r="Z149" s="9">
        <f>IF(MID(Z$50,3,1)="1",1,"")</f>
        <v/>
      </c>
      <c r="AA149" s="9">
        <f>IF(MID(AA$50,3,1)="1",1,"")</f>
        <v/>
      </c>
      <c r="AB149" s="9">
        <f>IF(MID(AB$50,3,1)="1",1,"")</f>
        <v/>
      </c>
      <c r="AC149" s="9">
        <f>IF(MID(AC$50,3,1)="1",1,"")</f>
        <v/>
      </c>
      <c r="AD149" s="9">
        <f>IF(MID(AD$50,3,1)="1",1,"")</f>
        <v/>
      </c>
      <c r="AE149" s="9">
        <f>IF(MID(AE$50,3,1)="1",1,"")</f>
        <v/>
      </c>
      <c r="AF149" s="9">
        <f>IF(MID(AF$50,3,1)="1",1,"")</f>
        <v/>
      </c>
      <c r="AG149" s="9">
        <f>IF(MID(AG$50,3,1)="1",1,"")</f>
        <v/>
      </c>
      <c r="AH149" s="9">
        <f>IF(MID(AH$50,3,1)="1",1,"")</f>
        <v/>
      </c>
      <c r="AI149" s="9">
        <f>IF(MID(AI$50,3,1)="1",1,"")</f>
        <v/>
      </c>
      <c r="AJ149" s="9">
        <f>IF(MID(AJ$50,3,1)="1",1,"")</f>
        <v/>
      </c>
      <c r="AK149" s="9">
        <f>IF(MID(AK$50,3,1)="1",1,"")</f>
        <v/>
      </c>
    </row>
    <row r="150" customFormat="1" s="7">
      <c r="B150" s="7" t="n">
        <v>94</v>
      </c>
      <c r="C150" s="13" t="inlineStr">
        <is>
          <t>UNUSED</t>
        </is>
      </c>
      <c r="F150" s="14">
        <f>IF(MID(F$50,2,1)="1",1,"")</f>
        <v/>
      </c>
      <c r="G150" s="14">
        <f>IF(MID(G$50,2,1)="1",1,"")</f>
        <v/>
      </c>
      <c r="H150" s="14">
        <f>IF(MID(H$50,2,1)="1",1,"")</f>
        <v/>
      </c>
      <c r="I150" s="14">
        <f>IF(MID(I$50,2,1)="1",1,"")</f>
        <v/>
      </c>
      <c r="J150" s="14">
        <f>IF(MID(J$50,2,1)="1",1,"")</f>
        <v/>
      </c>
      <c r="K150" s="14">
        <f>IF(MID(K$50,2,1)="1",1,"")</f>
        <v/>
      </c>
      <c r="L150" s="14">
        <f>IF(MID(L$50,2,1)="1",1,"")</f>
        <v/>
      </c>
      <c r="M150" s="14">
        <f>IF(MID(M$50,2,1)="1",1,"")</f>
        <v/>
      </c>
      <c r="N150" s="14">
        <f>IF(MID(N$50,2,1)="1",1,"")</f>
        <v/>
      </c>
      <c r="O150" s="14">
        <f>IF(MID(O$50,2,1)="1",1,"")</f>
        <v/>
      </c>
      <c r="P150" s="14">
        <f>IF(MID(P$50,2,1)="1",1,"")</f>
        <v/>
      </c>
      <c r="Q150" s="14">
        <f>IF(MID(Q$50,2,1)="1",1,"")</f>
        <v/>
      </c>
      <c r="R150" s="14">
        <f>IF(MID(R$50,2,1)="1",1,"")</f>
        <v/>
      </c>
      <c r="S150" s="14">
        <f>IF(MID(S$50,2,1)="1",1,"")</f>
        <v/>
      </c>
      <c r="T150" s="14">
        <f>IF(MID(T$50,2,1)="1",1,"")</f>
        <v/>
      </c>
      <c r="U150" s="14">
        <f>IF(MID(U$50,2,1)="1",1,"")</f>
        <v/>
      </c>
      <c r="V150" s="14">
        <f>IF(MID(V$50,2,1)="1",1,"")</f>
        <v/>
      </c>
      <c r="W150" s="14">
        <f>IF(MID(W$50,2,1)="1",1,"")</f>
        <v/>
      </c>
      <c r="X150" s="14">
        <f>IF(MID(X$50,2,1)="1",1,"")</f>
        <v/>
      </c>
      <c r="Y150" s="14">
        <f>IF(MID(Y$50,2,1)="1",1,"")</f>
        <v/>
      </c>
      <c r="Z150" s="14">
        <f>IF(MID(Z$50,2,1)="1",1,"")</f>
        <v/>
      </c>
      <c r="AA150" s="14">
        <f>IF(MID(AA$50,2,1)="1",1,"")</f>
        <v/>
      </c>
      <c r="AB150" s="14">
        <f>IF(MID(AB$50,2,1)="1",1,"")</f>
        <v/>
      </c>
      <c r="AC150" s="14">
        <f>IF(MID(AC$50,2,1)="1",1,"")</f>
        <v/>
      </c>
      <c r="AD150" s="14">
        <f>IF(MID(AD$50,2,1)="1",1,"")</f>
        <v/>
      </c>
      <c r="AE150" s="14">
        <f>IF(MID(AE$50,2,1)="1",1,"")</f>
        <v/>
      </c>
      <c r="AF150" s="14">
        <f>IF(MID(AF$50,2,1)="1",1,"")</f>
        <v/>
      </c>
      <c r="AG150" s="14">
        <f>IF(MID(AG$50,2,1)="1",1,"")</f>
        <v/>
      </c>
      <c r="AH150" s="14">
        <f>IF(MID(AH$50,2,1)="1",1,"")</f>
        <v/>
      </c>
      <c r="AI150" s="14">
        <f>IF(MID(AI$50,2,1)="1",1,"")</f>
        <v/>
      </c>
      <c r="AJ150" s="14">
        <f>IF(MID(AJ$50,2,1)="1",1,"")</f>
        <v/>
      </c>
      <c r="AK150" s="14">
        <f>IF(MID(AK$50,2,1)="1",1,"")</f>
        <v/>
      </c>
    </row>
    <row r="151">
      <c r="B151" t="n">
        <v>95</v>
      </c>
      <c r="C151" s="15" t="inlineStr">
        <is>
          <t>UNUSED</t>
        </is>
      </c>
      <c r="F151" s="9">
        <f>IF(MID(F$50,1,1)="1",1,"")</f>
        <v/>
      </c>
      <c r="G151" s="9">
        <f>IF(MID(G$50,1,1)="1",1,"")</f>
        <v/>
      </c>
      <c r="H151" s="9">
        <f>IF(MID(H$50,1,1)="1",1,"")</f>
        <v/>
      </c>
      <c r="I151" s="9">
        <f>IF(MID(I$50,1,1)="1",1,"")</f>
        <v/>
      </c>
      <c r="J151" s="9">
        <f>IF(MID(J$50,1,1)="1",1,"")</f>
        <v/>
      </c>
      <c r="K151" s="9">
        <f>IF(MID(K$50,1,1)="1",1,"")</f>
        <v/>
      </c>
      <c r="L151" s="9">
        <f>IF(MID(L$50,1,1)="1",1,"")</f>
        <v/>
      </c>
      <c r="M151" s="9">
        <f>IF(MID(M$50,1,1)="1",1,"")</f>
        <v/>
      </c>
      <c r="N151" s="9">
        <f>IF(MID(N$50,1,1)="1",1,"")</f>
        <v/>
      </c>
      <c r="O151" s="9">
        <f>IF(MID(O$50,1,1)="1",1,"")</f>
        <v/>
      </c>
      <c r="P151" s="9">
        <f>IF(MID(P$50,1,1)="1",1,"")</f>
        <v/>
      </c>
      <c r="Q151" s="9">
        <f>IF(MID(Q$50,1,1)="1",1,"")</f>
        <v/>
      </c>
      <c r="R151" s="9">
        <f>IF(MID(R$50,1,1)="1",1,"")</f>
        <v/>
      </c>
      <c r="S151" s="9">
        <f>IF(MID(S$50,1,1)="1",1,"")</f>
        <v/>
      </c>
      <c r="T151" s="9">
        <f>IF(MID(T$50,1,1)="1",1,"")</f>
        <v/>
      </c>
      <c r="U151" s="9">
        <f>IF(MID(U$50,1,1)="1",1,"")</f>
        <v/>
      </c>
      <c r="V151" s="9">
        <f>IF(MID(V$50,1,1)="1",1,"")</f>
        <v/>
      </c>
      <c r="W151" s="9">
        <f>IF(MID(W$50,1,1)="1",1,"")</f>
        <v/>
      </c>
      <c r="X151" s="9">
        <f>IF(MID(X$50,1,1)="1",1,"")</f>
        <v/>
      </c>
      <c r="Y151" s="9">
        <f>IF(MID(Y$50,1,1)="1",1,"")</f>
        <v/>
      </c>
      <c r="Z151" s="9">
        <f>IF(MID(Z$50,1,1)="1",1,"")</f>
        <v/>
      </c>
      <c r="AA151" s="9">
        <f>IF(MID(AA$50,1,1)="1",1,"")</f>
        <v/>
      </c>
      <c r="AB151" s="9">
        <f>IF(MID(AB$50,1,1)="1",1,"")</f>
        <v/>
      </c>
      <c r="AC151" s="9">
        <f>IF(MID(AC$50,1,1)="1",1,"")</f>
        <v/>
      </c>
      <c r="AD151" s="9">
        <f>IF(MID(AD$50,1,1)="1",1,"")</f>
        <v/>
      </c>
      <c r="AE151" s="9">
        <f>IF(MID(AE$50,1,1)="1",1,"")</f>
        <v/>
      </c>
      <c r="AF151" s="9">
        <f>IF(MID(AF$50,1,1)="1",1,"")</f>
        <v/>
      </c>
      <c r="AG151" s="9">
        <f>IF(MID(AG$50,1,1)="1",1,"")</f>
        <v/>
      </c>
      <c r="AH151" s="9">
        <f>IF(MID(AH$50,1,1)="1",1,"")</f>
        <v/>
      </c>
      <c r="AI151" s="9">
        <f>IF(MID(AI$50,1,1)="1",1,"")</f>
        <v/>
      </c>
      <c r="AJ151" s="9">
        <f>IF(MID(AJ$50,1,1)="1",1,"")</f>
        <v/>
      </c>
      <c r="AK151" s="9">
        <f>IF(MID(AK$50,1,1)="1",1,"")</f>
        <v/>
      </c>
    </row>
    <row r="152" customFormat="1" s="7">
      <c r="B152" s="7" t="n">
        <v>96</v>
      </c>
      <c r="C152" s="13" t="inlineStr">
        <is>
          <t>EXC_CAB_ALT_WARNING</t>
        </is>
      </c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</row>
  </sheetData>
  <conditionalFormatting sqref="F96:F103">
    <cfRule type="colorScale" priority="14">
      <colorScale>
        <cfvo type="min"/>
        <cfvo type="num" val="1"/>
        <color theme="0"/>
        <color theme="5" tint="0.3999450666829432"/>
      </colorScale>
    </cfRule>
  </conditionalFormatting>
  <conditionalFormatting sqref="F104:F111">
    <cfRule type="colorScale" priority="13">
      <colorScale>
        <cfvo type="min"/>
        <cfvo type="num" val="1"/>
        <color theme="0"/>
        <color theme="5" tint="0.3999450666829432"/>
      </colorScale>
    </cfRule>
  </conditionalFormatting>
  <conditionalFormatting sqref="F112:F119">
    <cfRule type="colorScale" priority="12">
      <colorScale>
        <cfvo type="min"/>
        <cfvo type="num" val="1"/>
        <color theme="0"/>
        <color theme="5" tint="0.3999450666829432"/>
      </colorScale>
    </cfRule>
  </conditionalFormatting>
  <conditionalFormatting sqref="F120:F127">
    <cfRule type="colorScale" priority="11">
      <colorScale>
        <cfvo type="min"/>
        <cfvo type="num" val="1"/>
        <color theme="0"/>
        <color theme="5" tint="0.3999450666829432"/>
      </colorScale>
    </cfRule>
  </conditionalFormatting>
  <conditionalFormatting sqref="F128:F135">
    <cfRule type="colorScale" priority="10">
      <colorScale>
        <cfvo type="min"/>
        <cfvo type="num" val="1"/>
        <color theme="0"/>
        <color theme="5" tint="0.3999450666829432"/>
      </colorScale>
    </cfRule>
  </conditionalFormatting>
  <conditionalFormatting sqref="F136:F143">
    <cfRule type="colorScale" priority="9">
      <colorScale>
        <cfvo type="min"/>
        <cfvo type="num" val="1"/>
        <color theme="0"/>
        <color theme="5" tint="0.3999450666829432"/>
      </colorScale>
    </cfRule>
  </conditionalFormatting>
  <conditionalFormatting sqref="F144:F151">
    <cfRule type="colorScale" priority="8">
      <colorScale>
        <cfvo type="min"/>
        <cfvo type="num" val="1"/>
        <color theme="0"/>
        <color theme="5" tint="0.3999450666829432"/>
      </colorScale>
    </cfRule>
  </conditionalFormatting>
  <conditionalFormatting sqref="F56:AK95">
    <cfRule type="colorScale" priority="15">
      <colorScale>
        <cfvo type="min"/>
        <cfvo type="num" val="1"/>
        <color theme="0"/>
        <color theme="5" tint="0.3999450666829432"/>
      </colorScale>
    </cfRule>
  </conditionalFormatting>
  <conditionalFormatting sqref="G96:AK103">
    <cfRule type="colorScale" priority="7">
      <colorScale>
        <cfvo type="min"/>
        <cfvo type="num" val="1"/>
        <color theme="0"/>
        <color theme="5" tint="0.3999450666829432"/>
      </colorScale>
    </cfRule>
  </conditionalFormatting>
  <conditionalFormatting sqref="G104:AK111">
    <cfRule type="colorScale" priority="6">
      <colorScale>
        <cfvo type="min"/>
        <cfvo type="num" val="1"/>
        <color theme="0"/>
        <color theme="5" tint="0.3999450666829432"/>
      </colorScale>
    </cfRule>
  </conditionalFormatting>
  <conditionalFormatting sqref="G112:AK119">
    <cfRule type="colorScale" priority="5">
      <colorScale>
        <cfvo type="min"/>
        <cfvo type="num" val="1"/>
        <color theme="0"/>
        <color theme="5" tint="0.3999450666829432"/>
      </colorScale>
    </cfRule>
  </conditionalFormatting>
  <conditionalFormatting sqref="G120:AK127">
    <cfRule type="colorScale" priority="4">
      <colorScale>
        <cfvo type="min"/>
        <cfvo type="num" val="1"/>
        <color theme="0"/>
        <color theme="5" tint="0.3999450666829432"/>
      </colorScale>
    </cfRule>
  </conditionalFormatting>
  <conditionalFormatting sqref="G128:AK135">
    <cfRule type="colorScale" priority="3">
      <colorScale>
        <cfvo type="min"/>
        <cfvo type="num" val="1"/>
        <color theme="0"/>
        <color theme="5" tint="0.3999450666829432"/>
      </colorScale>
    </cfRule>
  </conditionalFormatting>
  <conditionalFormatting sqref="G136:AK143">
    <cfRule type="colorScale" priority="2">
      <colorScale>
        <cfvo type="min"/>
        <cfvo type="num" val="1"/>
        <color theme="0"/>
        <color theme="5" tint="0.3999450666829432"/>
      </colorScale>
    </cfRule>
  </conditionalFormatting>
  <conditionalFormatting sqref="G144:AK151">
    <cfRule type="colorScale" priority="1">
      <colorScale>
        <cfvo type="min"/>
        <cfvo type="num" val="1"/>
        <color theme="0"/>
        <color theme="5" tint="0.3999450666829432"/>
      </colorScale>
    </cfRule>
  </conditionalFormatting>
  <dataValidations count="1">
    <dataValidation sqref="W2" showDropDown="0" showInputMessage="1" showErrorMessage="1" allowBlank="1" type="list">
      <formula1>$AP$8:$AP$9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J45"/>
  <sheetViews>
    <sheetView zoomScale="85" zoomScaleNormal="85" workbookViewId="0">
      <selection activeCell="E5" sqref="E5"/>
    </sheetView>
  </sheetViews>
  <sheetFormatPr baseColWidth="8" defaultColWidth="9" defaultRowHeight="15"/>
  <cols>
    <col width="33.42578125" customWidth="1" min="2" max="2"/>
    <col width="9.140625" customWidth="1" style="1" min="5" max="5"/>
  </cols>
  <sheetData>
    <row r="2">
      <c r="A2" t="inlineStr">
        <is>
          <t>S/N</t>
        </is>
      </c>
      <c r="B2" s="18" t="inlineStr">
        <is>
          <t>0854763</t>
        </is>
      </c>
    </row>
    <row r="4">
      <c r="B4" s="19" t="n"/>
      <c r="C4" s="19" t="n"/>
      <c r="D4" s="19" t="n"/>
      <c r="E4" s="2" t="inlineStr">
        <is>
          <t>0</t>
        </is>
      </c>
      <c r="F4" s="2">
        <f>E4+1</f>
        <v/>
      </c>
      <c r="G4" s="2">
        <f>F4+1</f>
        <v/>
      </c>
      <c r="H4" s="2">
        <f>G4+1</f>
        <v/>
      </c>
      <c r="I4" s="2">
        <f>H4+1</f>
        <v/>
      </c>
      <c r="J4" s="2">
        <f>I4+1</f>
        <v/>
      </c>
      <c r="K4" s="2">
        <f>J4+1</f>
        <v/>
      </c>
      <c r="L4" s="2">
        <f>K4+1</f>
        <v/>
      </c>
      <c r="M4" s="2">
        <f>L4+1</f>
        <v/>
      </c>
      <c r="N4" s="2">
        <f>M4+1</f>
        <v/>
      </c>
      <c r="O4" s="2">
        <f>N4+1</f>
        <v/>
      </c>
      <c r="P4" s="2">
        <f>O4+1</f>
        <v/>
      </c>
      <c r="Q4" s="2">
        <f>P4+1</f>
        <v/>
      </c>
      <c r="R4" s="2">
        <f>Q4+1</f>
        <v/>
      </c>
      <c r="S4" s="2">
        <f>R4+1</f>
        <v/>
      </c>
      <c r="T4" s="2">
        <f>S4+1</f>
        <v/>
      </c>
      <c r="U4" s="2">
        <f>T4+1</f>
        <v/>
      </c>
      <c r="V4" s="2">
        <f>U4+1</f>
        <v/>
      </c>
      <c r="W4" s="2">
        <f>V4+1</f>
        <v/>
      </c>
      <c r="X4" s="2">
        <f>W4+1</f>
        <v/>
      </c>
      <c r="Y4" s="2">
        <f>X4+1</f>
        <v/>
      </c>
      <c r="Z4" s="2">
        <f>Y4+1</f>
        <v/>
      </c>
      <c r="AA4" s="2">
        <f>Z4+1</f>
        <v/>
      </c>
      <c r="AB4" s="2">
        <f>AA4+1</f>
        <v/>
      </c>
      <c r="AC4" s="2">
        <f>AB4+1</f>
        <v/>
      </c>
      <c r="AD4" s="2">
        <f>AC4+1</f>
        <v/>
      </c>
      <c r="AE4" s="2">
        <f>AD4+1</f>
        <v/>
      </c>
      <c r="AF4" s="2">
        <f>AE4+1</f>
        <v/>
      </c>
      <c r="AG4" s="3">
        <f>AF4+1</f>
        <v/>
      </c>
      <c r="AH4" s="3">
        <f>AG4+1</f>
        <v/>
      </c>
      <c r="AI4" s="3">
        <f>AH4+1</f>
        <v/>
      </c>
      <c r="AJ4" s="3">
        <f>AI4+1</f>
        <v/>
      </c>
    </row>
    <row r="5">
      <c r="B5" s="19" t="inlineStr">
        <is>
          <t>FAULT CODE</t>
        </is>
      </c>
      <c r="C5" s="19" t="n"/>
      <c r="D5" s="19" t="n"/>
      <c r="E5" s="19">
        <f>com!A1</f>
        <v/>
      </c>
      <c r="F5" s="19">
        <f>com!A42</f>
        <v/>
      </c>
      <c r="G5" s="19">
        <f>com!A83</f>
        <v/>
      </c>
      <c r="H5" s="19">
        <f>com!A124</f>
        <v/>
      </c>
      <c r="I5" s="19">
        <f>com!A165</f>
        <v/>
      </c>
      <c r="J5" s="19">
        <f>com!A206</f>
        <v/>
      </c>
      <c r="K5" s="19">
        <f>com!A247</f>
        <v/>
      </c>
      <c r="L5" s="19">
        <f>com!A288</f>
        <v/>
      </c>
      <c r="M5" s="19">
        <f>com!A329</f>
        <v/>
      </c>
      <c r="N5" s="19">
        <f>com!A370</f>
        <v/>
      </c>
      <c r="O5" s="19">
        <f>com!A411</f>
        <v/>
      </c>
      <c r="P5" s="19">
        <f>com!A452</f>
        <v/>
      </c>
      <c r="Q5" s="19">
        <f>com!A493</f>
        <v/>
      </c>
      <c r="R5" s="19">
        <f>com!A534</f>
        <v/>
      </c>
      <c r="S5" s="19">
        <f>com!A575</f>
        <v/>
      </c>
      <c r="T5" s="19">
        <f>com!A616</f>
        <v/>
      </c>
      <c r="U5" s="19">
        <f>com!A657</f>
        <v/>
      </c>
      <c r="V5" s="19">
        <f>com!A698</f>
        <v/>
      </c>
      <c r="W5" s="19">
        <f>com!A739</f>
        <v/>
      </c>
      <c r="X5" s="19">
        <f>com!A780</f>
        <v/>
      </c>
      <c r="Y5" s="19">
        <f>com!A821</f>
        <v/>
      </c>
      <c r="Z5" s="19">
        <f>com!A862</f>
        <v/>
      </c>
      <c r="AA5" s="19">
        <f>com!A903</f>
        <v/>
      </c>
      <c r="AB5" s="19">
        <f>com!A944</f>
        <v/>
      </c>
      <c r="AC5" s="19">
        <f>com!A985</f>
        <v/>
      </c>
      <c r="AD5" s="19">
        <f>com!A1026</f>
        <v/>
      </c>
      <c r="AE5" s="19">
        <f>com!A1067</f>
        <v/>
      </c>
      <c r="AF5" s="19">
        <f>com!A1108</f>
        <v/>
      </c>
      <c r="AG5" s="19">
        <f>com!A1149</f>
        <v/>
      </c>
      <c r="AH5" s="19">
        <f>com!A1190</f>
        <v/>
      </c>
      <c r="AI5" s="19">
        <f>com!A1231</f>
        <v/>
      </c>
      <c r="AJ5" s="19">
        <f>com!A1272</f>
        <v/>
      </c>
    </row>
    <row r="6">
      <c r="B6" s="4" t="inlineStr">
        <is>
          <t>INTERNAL FLIGHT LEG - LSB</t>
        </is>
      </c>
      <c r="C6" s="4" t="n"/>
      <c r="D6" s="4" t="n"/>
      <c r="E6" s="19">
        <f>com!A2</f>
        <v/>
      </c>
      <c r="F6" s="19">
        <f>com!A43</f>
        <v/>
      </c>
      <c r="G6" s="19">
        <f>com!A84</f>
        <v/>
      </c>
      <c r="H6" s="19">
        <f>com!A125</f>
        <v/>
      </c>
      <c r="I6" s="19">
        <f>com!A166</f>
        <v/>
      </c>
      <c r="J6" s="19">
        <f>com!A207</f>
        <v/>
      </c>
      <c r="K6" s="19">
        <f>com!A248</f>
        <v/>
      </c>
      <c r="L6" s="19">
        <f>com!A289</f>
        <v/>
      </c>
      <c r="M6" s="19">
        <f>com!A330</f>
        <v/>
      </c>
      <c r="N6" s="19">
        <f>com!A371</f>
        <v/>
      </c>
      <c r="O6" s="19">
        <f>com!A412</f>
        <v/>
      </c>
      <c r="P6" s="19">
        <f>com!A453</f>
        <v/>
      </c>
      <c r="Q6" s="19">
        <f>com!A494</f>
        <v/>
      </c>
      <c r="R6" s="19">
        <f>com!A535</f>
        <v/>
      </c>
      <c r="S6" s="19">
        <f>com!A576</f>
        <v/>
      </c>
      <c r="T6" s="19">
        <f>com!A617</f>
        <v/>
      </c>
      <c r="U6" s="19">
        <f>com!A658</f>
        <v/>
      </c>
      <c r="V6" s="19">
        <f>com!A699</f>
        <v/>
      </c>
      <c r="W6" s="19">
        <f>com!A740</f>
        <v/>
      </c>
      <c r="X6" s="19">
        <f>com!A781</f>
        <v/>
      </c>
      <c r="Y6" s="19">
        <f>com!A822</f>
        <v/>
      </c>
      <c r="Z6" s="19">
        <f>com!A863</f>
        <v/>
      </c>
      <c r="AA6" s="19">
        <f>com!A904</f>
        <v/>
      </c>
      <c r="AB6" s="19">
        <f>com!A945</f>
        <v/>
      </c>
      <c r="AC6" s="19">
        <f>com!A986</f>
        <v/>
      </c>
      <c r="AD6" s="19">
        <f>com!A1027</f>
        <v/>
      </c>
      <c r="AE6" s="19">
        <f>com!A1068</f>
        <v/>
      </c>
      <c r="AF6" s="19">
        <f>com!A1109</f>
        <v/>
      </c>
      <c r="AG6" s="19">
        <f>com!A1150</f>
        <v/>
      </c>
      <c r="AH6" s="19">
        <f>com!A1191</f>
        <v/>
      </c>
      <c r="AI6" s="19">
        <f>com!A1232</f>
        <v/>
      </c>
      <c r="AJ6" s="19">
        <f>com!A1273</f>
        <v/>
      </c>
    </row>
    <row r="7">
      <c r="B7" s="4" t="inlineStr">
        <is>
          <t>INTERNAL FLIGHT LEG - MSB</t>
        </is>
      </c>
      <c r="C7" s="4" t="n"/>
      <c r="D7" s="4" t="n"/>
      <c r="E7" s="19">
        <f>com!A3</f>
        <v/>
      </c>
      <c r="F7" s="19">
        <f>com!A44</f>
        <v/>
      </c>
      <c r="G7" s="19">
        <f>com!A85</f>
        <v/>
      </c>
      <c r="H7" s="19">
        <f>com!A126</f>
        <v/>
      </c>
      <c r="I7" s="19">
        <f>com!A167</f>
        <v/>
      </c>
      <c r="J7" s="19">
        <f>com!A208</f>
        <v/>
      </c>
      <c r="K7" s="19">
        <f>com!A249</f>
        <v/>
      </c>
      <c r="L7" s="19">
        <f>com!A290</f>
        <v/>
      </c>
      <c r="M7" s="19">
        <f>com!A331</f>
        <v/>
      </c>
      <c r="N7" s="19">
        <f>com!A372</f>
        <v/>
      </c>
      <c r="O7" s="19">
        <f>com!A413</f>
        <v/>
      </c>
      <c r="P7" s="19">
        <f>com!A454</f>
        <v/>
      </c>
      <c r="Q7" s="19">
        <f>com!A495</f>
        <v/>
      </c>
      <c r="R7" s="19">
        <f>com!A536</f>
        <v/>
      </c>
      <c r="S7" s="19">
        <f>com!A577</f>
        <v/>
      </c>
      <c r="T7" s="19">
        <f>com!A618</f>
        <v/>
      </c>
      <c r="U7" s="19">
        <f>com!A659</f>
        <v/>
      </c>
      <c r="V7" s="19">
        <f>com!A700</f>
        <v/>
      </c>
      <c r="W7" s="19">
        <f>com!A741</f>
        <v/>
      </c>
      <c r="X7" s="19">
        <f>com!A782</f>
        <v/>
      </c>
      <c r="Y7" s="19">
        <f>com!A823</f>
        <v/>
      </c>
      <c r="Z7" s="19">
        <f>com!A864</f>
        <v/>
      </c>
      <c r="AA7" s="19">
        <f>com!A905</f>
        <v/>
      </c>
      <c r="AB7" s="19">
        <f>com!A946</f>
        <v/>
      </c>
      <c r="AC7" s="19">
        <f>com!A987</f>
        <v/>
      </c>
      <c r="AD7" s="19">
        <f>com!A1028</f>
        <v/>
      </c>
      <c r="AE7" s="19">
        <f>com!A1069</f>
        <v/>
      </c>
      <c r="AF7" s="19">
        <f>com!A1110</f>
        <v/>
      </c>
      <c r="AG7" s="19">
        <f>com!A1151</f>
        <v/>
      </c>
      <c r="AH7" s="19">
        <f>com!A1192</f>
        <v/>
      </c>
      <c r="AI7" s="19">
        <f>com!A1233</f>
        <v/>
      </c>
      <c r="AJ7" s="19">
        <f>com!A1274</f>
        <v/>
      </c>
    </row>
    <row r="8">
      <c r="B8" s="19" t="inlineStr">
        <is>
          <t>INTERNAL FLIGHT MODE</t>
        </is>
      </c>
      <c r="C8" s="19" t="n"/>
      <c r="D8" s="19" t="n"/>
      <c r="E8" s="19">
        <f>com!A4</f>
        <v/>
      </c>
      <c r="F8" s="19">
        <f>com!A45</f>
        <v/>
      </c>
      <c r="G8" s="19">
        <f>com!A86</f>
        <v/>
      </c>
      <c r="H8" s="19">
        <f>com!A127</f>
        <v/>
      </c>
      <c r="I8" s="19">
        <f>com!A168</f>
        <v/>
      </c>
      <c r="J8" s="19">
        <f>com!A209</f>
        <v/>
      </c>
      <c r="K8" s="19">
        <f>com!A250</f>
        <v/>
      </c>
      <c r="L8" s="19">
        <f>com!A291</f>
        <v/>
      </c>
      <c r="M8" s="19">
        <f>com!A332</f>
        <v/>
      </c>
      <c r="N8" s="19">
        <f>com!A373</f>
        <v/>
      </c>
      <c r="O8" s="19">
        <f>com!A414</f>
        <v/>
      </c>
      <c r="P8" s="19">
        <f>com!A455</f>
        <v/>
      </c>
      <c r="Q8" s="19">
        <f>com!A496</f>
        <v/>
      </c>
      <c r="R8" s="19">
        <f>com!A537</f>
        <v/>
      </c>
      <c r="S8" s="19">
        <f>com!A578</f>
        <v/>
      </c>
      <c r="T8" s="19">
        <f>com!A619</f>
        <v/>
      </c>
      <c r="U8" s="19">
        <f>com!A660</f>
        <v/>
      </c>
      <c r="V8" s="19">
        <f>com!A701</f>
        <v/>
      </c>
      <c r="W8" s="19">
        <f>com!A742</f>
        <v/>
      </c>
      <c r="X8" s="19">
        <f>com!A783</f>
        <v/>
      </c>
      <c r="Y8" s="19">
        <f>com!A824</f>
        <v/>
      </c>
      <c r="Z8" s="19">
        <f>com!A865</f>
        <v/>
      </c>
      <c r="AA8" s="19">
        <f>com!A906</f>
        <v/>
      </c>
      <c r="AB8" s="19">
        <f>com!A947</f>
        <v/>
      </c>
      <c r="AC8" s="19">
        <f>com!A988</f>
        <v/>
      </c>
      <c r="AD8" s="19">
        <f>com!A1029</f>
        <v/>
      </c>
      <c r="AE8" s="19">
        <f>com!A1070</f>
        <v/>
      </c>
      <c r="AF8" s="19">
        <f>com!A1111</f>
        <v/>
      </c>
      <c r="AG8" s="19">
        <f>com!A1152</f>
        <v/>
      </c>
      <c r="AH8" s="19">
        <f>com!A1193</f>
        <v/>
      </c>
      <c r="AI8" s="19">
        <f>com!A1234</f>
        <v/>
      </c>
      <c r="AJ8" s="19">
        <f>com!A1275</f>
        <v/>
      </c>
    </row>
    <row r="9">
      <c r="B9" s="19" t="inlineStr">
        <is>
          <t>INTERMITTENT COUNT</t>
        </is>
      </c>
      <c r="C9" s="19" t="n"/>
      <c r="D9" s="19" t="n"/>
      <c r="E9" s="19">
        <f>com!A5</f>
        <v/>
      </c>
      <c r="F9" s="19">
        <f>com!A46</f>
        <v/>
      </c>
      <c r="G9" s="19">
        <f>com!A87</f>
        <v/>
      </c>
      <c r="H9" s="19">
        <f>com!A128</f>
        <v/>
      </c>
      <c r="I9" s="19">
        <f>com!A169</f>
        <v/>
      </c>
      <c r="J9" s="19">
        <f>com!A210</f>
        <v/>
      </c>
      <c r="K9" s="19">
        <f>com!A251</f>
        <v/>
      </c>
      <c r="L9" s="19">
        <f>com!A292</f>
        <v/>
      </c>
      <c r="M9" s="19">
        <f>com!A333</f>
        <v/>
      </c>
      <c r="N9" s="19">
        <f>com!A374</f>
        <v/>
      </c>
      <c r="O9" s="19">
        <f>com!A415</f>
        <v/>
      </c>
      <c r="P9" s="19">
        <f>com!A456</f>
        <v/>
      </c>
      <c r="Q9" s="19">
        <f>com!A497</f>
        <v/>
      </c>
      <c r="R9" s="19">
        <f>com!A538</f>
        <v/>
      </c>
      <c r="S9" s="19">
        <f>com!A579</f>
        <v/>
      </c>
      <c r="T9" s="19">
        <f>com!A620</f>
        <v/>
      </c>
      <c r="U9" s="19">
        <f>com!A661</f>
        <v/>
      </c>
      <c r="V9" s="19">
        <f>com!A702</f>
        <v/>
      </c>
      <c r="W9" s="19">
        <f>com!A743</f>
        <v/>
      </c>
      <c r="X9" s="19">
        <f>com!A784</f>
        <v/>
      </c>
      <c r="Y9" s="19">
        <f>com!A825</f>
        <v/>
      </c>
      <c r="Z9" s="19">
        <f>com!A866</f>
        <v/>
      </c>
      <c r="AA9" s="19">
        <f>com!A907</f>
        <v/>
      </c>
      <c r="AB9" s="19">
        <f>com!A948</f>
        <v/>
      </c>
      <c r="AC9" s="19">
        <f>com!A989</f>
        <v/>
      </c>
      <c r="AD9" s="19">
        <f>com!A1030</f>
        <v/>
      </c>
      <c r="AE9" s="19">
        <f>com!A1071</f>
        <v/>
      </c>
      <c r="AF9" s="19">
        <f>com!A1112</f>
        <v/>
      </c>
      <c r="AG9" s="19">
        <f>com!A1153</f>
        <v/>
      </c>
      <c r="AH9" s="19">
        <f>com!A1194</f>
        <v/>
      </c>
      <c r="AI9" s="19">
        <f>com!A1235</f>
        <v/>
      </c>
      <c r="AJ9" s="19">
        <f>com!A1276</f>
        <v/>
      </c>
    </row>
    <row r="10">
      <c r="B10" s="19" t="inlineStr">
        <is>
          <t>FLIGHT PHASE</t>
        </is>
      </c>
      <c r="C10" s="19" t="n"/>
      <c r="D10" s="19" t="n"/>
      <c r="E10" s="19">
        <f>com!A6</f>
        <v/>
      </c>
      <c r="F10" s="19">
        <f>com!A47</f>
        <v/>
      </c>
      <c r="G10" s="19">
        <f>com!A88</f>
        <v/>
      </c>
      <c r="H10" s="19">
        <f>com!A129</f>
        <v/>
      </c>
      <c r="I10" s="19">
        <f>com!A170</f>
        <v/>
      </c>
      <c r="J10" s="19">
        <f>com!A211</f>
        <v/>
      </c>
      <c r="K10" s="19">
        <f>com!A252</f>
        <v/>
      </c>
      <c r="L10" s="19">
        <f>com!A293</f>
        <v/>
      </c>
      <c r="M10" s="19">
        <f>com!A334</f>
        <v/>
      </c>
      <c r="N10" s="19">
        <f>com!A375</f>
        <v/>
      </c>
      <c r="O10" s="19">
        <f>com!A416</f>
        <v/>
      </c>
      <c r="P10" s="19">
        <f>com!A457</f>
        <v/>
      </c>
      <c r="Q10" s="19">
        <f>com!A498</f>
        <v/>
      </c>
      <c r="R10" s="19">
        <f>com!A539</f>
        <v/>
      </c>
      <c r="S10" s="19">
        <f>com!A580</f>
        <v/>
      </c>
      <c r="T10" s="19">
        <f>com!A621</f>
        <v/>
      </c>
      <c r="U10" s="19">
        <f>com!A662</f>
        <v/>
      </c>
      <c r="V10" s="19">
        <f>com!A703</f>
        <v/>
      </c>
      <c r="W10" s="19">
        <f>com!A744</f>
        <v/>
      </c>
      <c r="X10" s="19">
        <f>com!A785</f>
        <v/>
      </c>
      <c r="Y10" s="19">
        <f>com!A826</f>
        <v/>
      </c>
      <c r="Z10" s="19">
        <f>com!A867</f>
        <v/>
      </c>
      <c r="AA10" s="19">
        <f>com!A908</f>
        <v/>
      </c>
      <c r="AB10" s="19">
        <f>com!A949</f>
        <v/>
      </c>
      <c r="AC10" s="19">
        <f>com!A990</f>
        <v/>
      </c>
      <c r="AD10" s="19">
        <f>com!A1031</f>
        <v/>
      </c>
      <c r="AE10" s="19">
        <f>com!A1072</f>
        <v/>
      </c>
      <c r="AF10" s="19">
        <f>com!A1113</f>
        <v/>
      </c>
      <c r="AG10" s="19">
        <f>com!A1154</f>
        <v/>
      </c>
      <c r="AH10" s="19">
        <f>com!A1195</f>
        <v/>
      </c>
      <c r="AI10" s="19">
        <f>com!A1236</f>
        <v/>
      </c>
      <c r="AJ10" s="19">
        <f>com!A1277</f>
        <v/>
      </c>
    </row>
    <row r="11">
      <c r="B11" s="19" t="inlineStr">
        <is>
          <t>A/C IDENTIFICATION 1st character</t>
        </is>
      </c>
      <c r="C11" s="19" t="n"/>
      <c r="D11" s="5" t="n"/>
      <c r="E11" s="19">
        <f>com!A7</f>
        <v/>
      </c>
      <c r="F11" s="19">
        <f>com!A48</f>
        <v/>
      </c>
      <c r="G11" s="19">
        <f>com!A89</f>
        <v/>
      </c>
      <c r="H11" s="19">
        <f>com!A130</f>
        <v/>
      </c>
      <c r="I11" s="19">
        <f>com!A171</f>
        <v/>
      </c>
      <c r="J11" s="19">
        <f>com!A212</f>
        <v/>
      </c>
      <c r="K11" s="19">
        <f>com!A253</f>
        <v/>
      </c>
      <c r="L11" s="19">
        <f>com!A294</f>
        <v/>
      </c>
      <c r="M11" s="19">
        <f>com!A335</f>
        <v/>
      </c>
      <c r="N11" s="19">
        <f>com!A376</f>
        <v/>
      </c>
      <c r="O11" s="19">
        <f>com!A417</f>
        <v/>
      </c>
      <c r="P11" s="19">
        <f>com!A458</f>
        <v/>
      </c>
      <c r="Q11" s="19">
        <f>com!A499</f>
        <v/>
      </c>
      <c r="R11" s="19">
        <f>com!A540</f>
        <v/>
      </c>
      <c r="S11" s="19">
        <f>com!A581</f>
        <v/>
      </c>
      <c r="T11" s="19">
        <f>com!A622</f>
        <v/>
      </c>
      <c r="U11" s="19">
        <f>com!A663</f>
        <v/>
      </c>
      <c r="V11" s="19">
        <f>com!A704</f>
        <v/>
      </c>
      <c r="W11" s="19">
        <f>com!A745</f>
        <v/>
      </c>
      <c r="X11" s="19">
        <f>com!A786</f>
        <v/>
      </c>
      <c r="Y11" s="19">
        <f>com!A827</f>
        <v/>
      </c>
      <c r="Z11" s="19">
        <f>com!A868</f>
        <v/>
      </c>
      <c r="AA11" s="19">
        <f>com!A909</f>
        <v/>
      </c>
      <c r="AB11" s="19">
        <f>com!A950</f>
        <v/>
      </c>
      <c r="AC11" s="19">
        <f>com!A991</f>
        <v/>
      </c>
      <c r="AD11" s="19">
        <f>com!A1032</f>
        <v/>
      </c>
      <c r="AE11" s="19">
        <f>com!A1073</f>
        <v/>
      </c>
      <c r="AF11" s="19">
        <f>com!A1114</f>
        <v/>
      </c>
      <c r="AG11" s="19">
        <f>com!A1155</f>
        <v/>
      </c>
      <c r="AH11" s="19">
        <f>com!A1196</f>
        <v/>
      </c>
      <c r="AI11" s="19">
        <f>com!A1237</f>
        <v/>
      </c>
      <c r="AJ11" s="19">
        <f>com!A1278</f>
        <v/>
      </c>
    </row>
    <row r="12">
      <c r="B12" s="19" t="inlineStr">
        <is>
          <t>A/C IDENTIFICATION 2nd character</t>
        </is>
      </c>
      <c r="C12" s="19" t="n"/>
      <c r="D12" s="5" t="n"/>
      <c r="E12" s="19">
        <f>com!A8</f>
        <v/>
      </c>
      <c r="F12" s="19">
        <f>com!A49</f>
        <v/>
      </c>
      <c r="G12" s="19">
        <f>com!A90</f>
        <v/>
      </c>
      <c r="H12" s="19">
        <f>com!A131</f>
        <v/>
      </c>
      <c r="I12" s="19">
        <f>com!A172</f>
        <v/>
      </c>
      <c r="J12" s="19">
        <f>com!A213</f>
        <v/>
      </c>
      <c r="K12" s="19">
        <f>com!A254</f>
        <v/>
      </c>
      <c r="L12" s="19">
        <f>com!A295</f>
        <v/>
      </c>
      <c r="M12" s="19">
        <f>com!A336</f>
        <v/>
      </c>
      <c r="N12" s="19">
        <f>com!A377</f>
        <v/>
      </c>
      <c r="O12" s="19">
        <f>com!A418</f>
        <v/>
      </c>
      <c r="P12" s="19">
        <f>com!A459</f>
        <v/>
      </c>
      <c r="Q12" s="19">
        <f>com!A500</f>
        <v/>
      </c>
      <c r="R12" s="19">
        <f>com!A541</f>
        <v/>
      </c>
      <c r="S12" s="19">
        <f>com!A582</f>
        <v/>
      </c>
      <c r="T12" s="19">
        <f>com!A623</f>
        <v/>
      </c>
      <c r="U12" s="19">
        <f>com!A664</f>
        <v/>
      </c>
      <c r="V12" s="19">
        <f>com!A705</f>
        <v/>
      </c>
      <c r="W12" s="19">
        <f>com!A746</f>
        <v/>
      </c>
      <c r="X12" s="19">
        <f>com!A787</f>
        <v/>
      </c>
      <c r="Y12" s="19">
        <f>com!A828</f>
        <v/>
      </c>
      <c r="Z12" s="19">
        <f>com!A869</f>
        <v/>
      </c>
      <c r="AA12" s="19">
        <f>com!A910</f>
        <v/>
      </c>
      <c r="AB12" s="19">
        <f>com!A951</f>
        <v/>
      </c>
      <c r="AC12" s="19">
        <f>com!A992</f>
        <v/>
      </c>
      <c r="AD12" s="19">
        <f>com!A1033</f>
        <v/>
      </c>
      <c r="AE12" s="19">
        <f>com!A1074</f>
        <v/>
      </c>
      <c r="AF12" s="19">
        <f>com!A1115</f>
        <v/>
      </c>
      <c r="AG12" s="19">
        <f>com!A1156</f>
        <v/>
      </c>
      <c r="AH12" s="19">
        <f>com!A1197</f>
        <v/>
      </c>
      <c r="AI12" s="19">
        <f>com!A1238</f>
        <v/>
      </c>
      <c r="AJ12" s="19">
        <f>com!A1279</f>
        <v/>
      </c>
    </row>
    <row r="13">
      <c r="B13" s="19" t="inlineStr">
        <is>
          <t>A/C IDENTIFICATION 3rd character</t>
        </is>
      </c>
      <c r="C13" s="19" t="n"/>
      <c r="D13" s="5" t="n"/>
      <c r="E13" s="19">
        <f>com!A9</f>
        <v/>
      </c>
      <c r="F13" s="19">
        <f>com!A50</f>
        <v/>
      </c>
      <c r="G13" s="19">
        <f>com!A91</f>
        <v/>
      </c>
      <c r="H13" s="19">
        <f>com!A132</f>
        <v/>
      </c>
      <c r="I13" s="19">
        <f>com!A173</f>
        <v/>
      </c>
      <c r="J13" s="19">
        <f>com!A214</f>
        <v/>
      </c>
      <c r="K13" s="19">
        <f>com!A255</f>
        <v/>
      </c>
      <c r="L13" s="19">
        <f>com!A296</f>
        <v/>
      </c>
      <c r="M13" s="19">
        <f>com!A337</f>
        <v/>
      </c>
      <c r="N13" s="19">
        <f>com!A378</f>
        <v/>
      </c>
      <c r="O13" s="19">
        <f>com!A419</f>
        <v/>
      </c>
      <c r="P13" s="19">
        <f>com!A460</f>
        <v/>
      </c>
      <c r="Q13" s="19">
        <f>com!A501</f>
        <v/>
      </c>
      <c r="R13" s="19">
        <f>com!A542</f>
        <v/>
      </c>
      <c r="S13" s="19">
        <f>com!A583</f>
        <v/>
      </c>
      <c r="T13" s="19">
        <f>com!A624</f>
        <v/>
      </c>
      <c r="U13" s="19">
        <f>com!A665</f>
        <v/>
      </c>
      <c r="V13" s="19">
        <f>com!A706</f>
        <v/>
      </c>
      <c r="W13" s="19">
        <f>com!A747</f>
        <v/>
      </c>
      <c r="X13" s="19">
        <f>com!A788</f>
        <v/>
      </c>
      <c r="Y13" s="19">
        <f>com!A829</f>
        <v/>
      </c>
      <c r="Z13" s="19">
        <f>com!A870</f>
        <v/>
      </c>
      <c r="AA13" s="19">
        <f>com!A911</f>
        <v/>
      </c>
      <c r="AB13" s="19">
        <f>com!A952</f>
        <v/>
      </c>
      <c r="AC13" s="19">
        <f>com!A993</f>
        <v/>
      </c>
      <c r="AD13" s="19">
        <f>com!A1034</f>
        <v/>
      </c>
      <c r="AE13" s="19">
        <f>com!A1075</f>
        <v/>
      </c>
      <c r="AF13" s="19">
        <f>com!A1116</f>
        <v/>
      </c>
      <c r="AG13" s="19">
        <f>com!A1157</f>
        <v/>
      </c>
      <c r="AH13" s="19">
        <f>com!A1198</f>
        <v/>
      </c>
      <c r="AI13" s="19">
        <f>com!A1239</f>
        <v/>
      </c>
      <c r="AJ13" s="19">
        <f>com!A1280</f>
        <v/>
      </c>
    </row>
    <row r="14">
      <c r="B14" s="19" t="inlineStr">
        <is>
          <t>A/C IDENTIFICATION 4th character</t>
        </is>
      </c>
      <c r="C14" s="19" t="n"/>
      <c r="D14" s="5" t="n"/>
      <c r="E14" s="19">
        <f>com!A10</f>
        <v/>
      </c>
      <c r="F14" s="19">
        <f>com!A51</f>
        <v/>
      </c>
      <c r="G14" s="19">
        <f>com!A92</f>
        <v/>
      </c>
      <c r="H14" s="19">
        <f>com!A133</f>
        <v/>
      </c>
      <c r="I14" s="19">
        <f>com!A174</f>
        <v/>
      </c>
      <c r="J14" s="19">
        <f>com!A215</f>
        <v/>
      </c>
      <c r="K14" s="19">
        <f>com!A256</f>
        <v/>
      </c>
      <c r="L14" s="19">
        <f>com!A297</f>
        <v/>
      </c>
      <c r="M14" s="19">
        <f>com!A338</f>
        <v/>
      </c>
      <c r="N14" s="19">
        <f>com!A379</f>
        <v/>
      </c>
      <c r="O14" s="19">
        <f>com!A420</f>
        <v/>
      </c>
      <c r="P14" s="19">
        <f>com!A461</f>
        <v/>
      </c>
      <c r="Q14" s="19">
        <f>com!A502</f>
        <v/>
      </c>
      <c r="R14" s="19">
        <f>com!A543</f>
        <v/>
      </c>
      <c r="S14" s="19">
        <f>com!A584</f>
        <v/>
      </c>
      <c r="T14" s="19">
        <f>com!A625</f>
        <v/>
      </c>
      <c r="U14" s="19">
        <f>com!A666</f>
        <v/>
      </c>
      <c r="V14" s="19">
        <f>com!A707</f>
        <v/>
      </c>
      <c r="W14" s="19">
        <f>com!A748</f>
        <v/>
      </c>
      <c r="X14" s="19">
        <f>com!A789</f>
        <v/>
      </c>
      <c r="Y14" s="19">
        <f>com!A830</f>
        <v/>
      </c>
      <c r="Z14" s="19">
        <f>com!A871</f>
        <v/>
      </c>
      <c r="AA14" s="19">
        <f>com!A912</f>
        <v/>
      </c>
      <c r="AB14" s="19">
        <f>com!A953</f>
        <v/>
      </c>
      <c r="AC14" s="19">
        <f>com!A994</f>
        <v/>
      </c>
      <c r="AD14" s="19">
        <f>com!A1035</f>
        <v/>
      </c>
      <c r="AE14" s="19">
        <f>com!A1076</f>
        <v/>
      </c>
      <c r="AF14" s="19">
        <f>com!A1117</f>
        <v/>
      </c>
      <c r="AG14" s="19">
        <f>com!A1158</f>
        <v/>
      </c>
      <c r="AH14" s="19">
        <f>com!A1199</f>
        <v/>
      </c>
      <c r="AI14" s="19">
        <f>com!A1240</f>
        <v/>
      </c>
      <c r="AJ14" s="19">
        <f>com!A1281</f>
        <v/>
      </c>
    </row>
    <row r="15">
      <c r="B15" s="19" t="inlineStr">
        <is>
          <t>A/C IDENTIFICATION 5th character</t>
        </is>
      </c>
      <c r="C15" s="19" t="n"/>
      <c r="D15" s="5" t="n"/>
      <c r="E15" s="19">
        <f>com!A11</f>
        <v/>
      </c>
      <c r="F15" s="19">
        <f>com!A52</f>
        <v/>
      </c>
      <c r="G15" s="19">
        <f>com!A93</f>
        <v/>
      </c>
      <c r="H15" s="19">
        <f>com!A134</f>
        <v/>
      </c>
      <c r="I15" s="19">
        <f>com!A175</f>
        <v/>
      </c>
      <c r="J15" s="19">
        <f>com!A216</f>
        <v/>
      </c>
      <c r="K15" s="19">
        <f>com!A257</f>
        <v/>
      </c>
      <c r="L15" s="19">
        <f>com!A298</f>
        <v/>
      </c>
      <c r="M15" s="19">
        <f>com!A339</f>
        <v/>
      </c>
      <c r="N15" s="19">
        <f>com!A380</f>
        <v/>
      </c>
      <c r="O15" s="19">
        <f>com!A421</f>
        <v/>
      </c>
      <c r="P15" s="19">
        <f>com!A462</f>
        <v/>
      </c>
      <c r="Q15" s="19">
        <f>com!A503</f>
        <v/>
      </c>
      <c r="R15" s="19">
        <f>com!A544</f>
        <v/>
      </c>
      <c r="S15" s="19">
        <f>com!A585</f>
        <v/>
      </c>
      <c r="T15" s="19">
        <f>com!A626</f>
        <v/>
      </c>
      <c r="U15" s="19">
        <f>com!A667</f>
        <v/>
      </c>
      <c r="V15" s="19">
        <f>com!A708</f>
        <v/>
      </c>
      <c r="W15" s="19">
        <f>com!A749</f>
        <v/>
      </c>
      <c r="X15" s="19">
        <f>com!A790</f>
        <v/>
      </c>
      <c r="Y15" s="19">
        <f>com!A831</f>
        <v/>
      </c>
      <c r="Z15" s="19">
        <f>com!A872</f>
        <v/>
      </c>
      <c r="AA15" s="19">
        <f>com!A913</f>
        <v/>
      </c>
      <c r="AB15" s="19">
        <f>com!A954</f>
        <v/>
      </c>
      <c r="AC15" s="19">
        <f>com!A995</f>
        <v/>
      </c>
      <c r="AD15" s="19">
        <f>com!A1036</f>
        <v/>
      </c>
      <c r="AE15" s="19">
        <f>com!A1077</f>
        <v/>
      </c>
      <c r="AF15" s="19">
        <f>com!A1118</f>
        <v/>
      </c>
      <c r="AG15" s="19">
        <f>com!A1159</f>
        <v/>
      </c>
      <c r="AH15" s="19">
        <f>com!A1200</f>
        <v/>
      </c>
      <c r="AI15" s="19">
        <f>com!A1241</f>
        <v/>
      </c>
      <c r="AJ15" s="19">
        <f>com!A1282</f>
        <v/>
      </c>
    </row>
    <row r="16">
      <c r="B16" s="19" t="inlineStr">
        <is>
          <t>A/C IDENTIFICATION 6th character</t>
        </is>
      </c>
      <c r="C16" s="19" t="n"/>
      <c r="D16" s="5" t="n"/>
      <c r="E16" s="19">
        <f>com!A12</f>
        <v/>
      </c>
      <c r="F16" s="19">
        <f>com!A53</f>
        <v/>
      </c>
      <c r="G16" s="19">
        <f>com!A94</f>
        <v/>
      </c>
      <c r="H16" s="19">
        <f>com!A135</f>
        <v/>
      </c>
      <c r="I16" s="19">
        <f>com!A176</f>
        <v/>
      </c>
      <c r="J16" s="19">
        <f>com!A217</f>
        <v/>
      </c>
      <c r="K16" s="19">
        <f>com!A258</f>
        <v/>
      </c>
      <c r="L16" s="19">
        <f>com!A299</f>
        <v/>
      </c>
      <c r="M16" s="19">
        <f>com!A340</f>
        <v/>
      </c>
      <c r="N16" s="19">
        <f>com!A381</f>
        <v/>
      </c>
      <c r="O16" s="19">
        <f>com!A422</f>
        <v/>
      </c>
      <c r="P16" s="19">
        <f>com!A463</f>
        <v/>
      </c>
      <c r="Q16" s="19">
        <f>com!A504</f>
        <v/>
      </c>
      <c r="R16" s="19">
        <f>com!A545</f>
        <v/>
      </c>
      <c r="S16" s="19">
        <f>com!A586</f>
        <v/>
      </c>
      <c r="T16" s="19">
        <f>com!A627</f>
        <v/>
      </c>
      <c r="U16" s="19">
        <f>com!A668</f>
        <v/>
      </c>
      <c r="V16" s="19">
        <f>com!A709</f>
        <v/>
      </c>
      <c r="W16" s="19">
        <f>com!A750</f>
        <v/>
      </c>
      <c r="X16" s="19">
        <f>com!A791</f>
        <v/>
      </c>
      <c r="Y16" s="19">
        <f>com!A832</f>
        <v/>
      </c>
      <c r="Z16" s="19">
        <f>com!A873</f>
        <v/>
      </c>
      <c r="AA16" s="19">
        <f>com!A914</f>
        <v/>
      </c>
      <c r="AB16" s="19">
        <f>com!A955</f>
        <v/>
      </c>
      <c r="AC16" s="19">
        <f>com!A996</f>
        <v/>
      </c>
      <c r="AD16" s="19">
        <f>com!A1037</f>
        <v/>
      </c>
      <c r="AE16" s="19">
        <f>com!A1078</f>
        <v/>
      </c>
      <c r="AF16" s="19">
        <f>com!A1119</f>
        <v/>
      </c>
      <c r="AG16" s="19">
        <f>com!A1160</f>
        <v/>
      </c>
      <c r="AH16" s="19">
        <f>com!A1201</f>
        <v/>
      </c>
      <c r="AI16" s="19">
        <f>com!A1242</f>
        <v/>
      </c>
      <c r="AJ16" s="19">
        <f>com!A1283</f>
        <v/>
      </c>
    </row>
    <row r="17">
      <c r="B17" s="19" t="inlineStr">
        <is>
          <t>A/C IDENTIFICATION 7th character</t>
        </is>
      </c>
      <c r="C17" s="19" t="n"/>
      <c r="D17" s="5" t="n"/>
      <c r="E17" s="19">
        <f>com!A13</f>
        <v/>
      </c>
      <c r="F17" s="19">
        <f>com!A54</f>
        <v/>
      </c>
      <c r="G17" s="19">
        <f>com!A95</f>
        <v/>
      </c>
      <c r="H17" s="19">
        <f>com!A136</f>
        <v/>
      </c>
      <c r="I17" s="19">
        <f>com!A177</f>
        <v/>
      </c>
      <c r="J17" s="19">
        <f>com!A218</f>
        <v/>
      </c>
      <c r="K17" s="19">
        <f>com!A259</f>
        <v/>
      </c>
      <c r="L17" s="19">
        <f>com!A300</f>
        <v/>
      </c>
      <c r="M17" s="19">
        <f>com!A341</f>
        <v/>
      </c>
      <c r="N17" s="19">
        <f>com!A382</f>
        <v/>
      </c>
      <c r="O17" s="19">
        <f>com!A423</f>
        <v/>
      </c>
      <c r="P17" s="19">
        <f>com!A464</f>
        <v/>
      </c>
      <c r="Q17" s="19">
        <f>com!A505</f>
        <v/>
      </c>
      <c r="R17" s="19">
        <f>com!A546</f>
        <v/>
      </c>
      <c r="S17" s="19">
        <f>com!A587</f>
        <v/>
      </c>
      <c r="T17" s="19">
        <f>com!A628</f>
        <v/>
      </c>
      <c r="U17" s="19">
        <f>com!A669</f>
        <v/>
      </c>
      <c r="V17" s="19">
        <f>com!A710</f>
        <v/>
      </c>
      <c r="W17" s="19">
        <f>com!A751</f>
        <v/>
      </c>
      <c r="X17" s="19">
        <f>com!A792</f>
        <v/>
      </c>
      <c r="Y17" s="19">
        <f>com!A833</f>
        <v/>
      </c>
      <c r="Z17" s="19">
        <f>com!A874</f>
        <v/>
      </c>
      <c r="AA17" s="19">
        <f>com!A915</f>
        <v/>
      </c>
      <c r="AB17" s="19">
        <f>com!A956</f>
        <v/>
      </c>
      <c r="AC17" s="19">
        <f>com!A997</f>
        <v/>
      </c>
      <c r="AD17" s="19">
        <f>com!A1038</f>
        <v/>
      </c>
      <c r="AE17" s="19">
        <f>com!A1079</f>
        <v/>
      </c>
      <c r="AF17" s="19">
        <f>com!A1120</f>
        <v/>
      </c>
      <c r="AG17" s="19">
        <f>com!A1161</f>
        <v/>
      </c>
      <c r="AH17" s="19">
        <f>com!A1202</f>
        <v/>
      </c>
      <c r="AI17" s="19">
        <f>com!A1243</f>
        <v/>
      </c>
      <c r="AJ17" s="19">
        <f>com!A1284</f>
        <v/>
      </c>
    </row>
    <row r="18">
      <c r="B18" s="19" t="inlineStr">
        <is>
          <t>FLIGHT No. 1st character</t>
        </is>
      </c>
      <c r="C18" s="19" t="n"/>
      <c r="D18" s="5" t="n"/>
      <c r="E18" s="19">
        <f>com!A14</f>
        <v/>
      </c>
      <c r="F18" s="19">
        <f>com!A55</f>
        <v/>
      </c>
      <c r="G18" s="19">
        <f>com!A96</f>
        <v/>
      </c>
      <c r="H18" s="19">
        <f>com!A137</f>
        <v/>
      </c>
      <c r="I18" s="19">
        <f>com!A178</f>
        <v/>
      </c>
      <c r="J18" s="19">
        <f>com!A219</f>
        <v/>
      </c>
      <c r="K18" s="19">
        <f>com!A260</f>
        <v/>
      </c>
      <c r="L18" s="19">
        <f>com!A301</f>
        <v/>
      </c>
      <c r="M18" s="19">
        <f>com!A342</f>
        <v/>
      </c>
      <c r="N18" s="19">
        <f>com!A383</f>
        <v/>
      </c>
      <c r="O18" s="19">
        <f>com!A424</f>
        <v/>
      </c>
      <c r="P18" s="19">
        <f>com!A465</f>
        <v/>
      </c>
      <c r="Q18" s="19">
        <f>com!A506</f>
        <v/>
      </c>
      <c r="R18" s="19">
        <f>com!A547</f>
        <v/>
      </c>
      <c r="S18" s="19">
        <f>com!A588</f>
        <v/>
      </c>
      <c r="T18" s="19">
        <f>com!A629</f>
        <v/>
      </c>
      <c r="U18" s="19">
        <f>com!A670</f>
        <v/>
      </c>
      <c r="V18" s="19">
        <f>com!A711</f>
        <v/>
      </c>
      <c r="W18" s="19">
        <f>com!A752</f>
        <v/>
      </c>
      <c r="X18" s="19">
        <f>com!A793</f>
        <v/>
      </c>
      <c r="Y18" s="19">
        <f>com!A834</f>
        <v/>
      </c>
      <c r="Z18" s="19">
        <f>com!A875</f>
        <v/>
      </c>
      <c r="AA18" s="19">
        <f>com!A916</f>
        <v/>
      </c>
      <c r="AB18" s="19">
        <f>com!A957</f>
        <v/>
      </c>
      <c r="AC18" s="19">
        <f>com!A998</f>
        <v/>
      </c>
      <c r="AD18" s="19">
        <f>com!A1039</f>
        <v/>
      </c>
      <c r="AE18" s="19">
        <f>com!A1080</f>
        <v/>
      </c>
      <c r="AF18" s="19">
        <f>com!A1121</f>
        <v/>
      </c>
      <c r="AG18" s="19">
        <f>com!A1162</f>
        <v/>
      </c>
      <c r="AH18" s="19">
        <f>com!A1203</f>
        <v/>
      </c>
      <c r="AI18" s="19">
        <f>com!A1244</f>
        <v/>
      </c>
      <c r="AJ18" s="19">
        <f>com!A1285</f>
        <v/>
      </c>
    </row>
    <row r="19">
      <c r="B19" s="19" t="inlineStr">
        <is>
          <t>FLIGHT No. 2nd character</t>
        </is>
      </c>
      <c r="C19" s="19" t="n"/>
      <c r="D19" s="5" t="n"/>
      <c r="E19" s="19">
        <f>com!A15</f>
        <v/>
      </c>
      <c r="F19" s="19">
        <f>com!A56</f>
        <v/>
      </c>
      <c r="G19" s="19">
        <f>com!A97</f>
        <v/>
      </c>
      <c r="H19" s="19">
        <f>com!A138</f>
        <v/>
      </c>
      <c r="I19" s="19">
        <f>com!A179</f>
        <v/>
      </c>
      <c r="J19" s="19">
        <f>com!A220</f>
        <v/>
      </c>
      <c r="K19" s="19">
        <f>com!A261</f>
        <v/>
      </c>
      <c r="L19" s="19">
        <f>com!A302</f>
        <v/>
      </c>
      <c r="M19" s="19">
        <f>com!A343</f>
        <v/>
      </c>
      <c r="N19" s="19">
        <f>com!A384</f>
        <v/>
      </c>
      <c r="O19" s="19">
        <f>com!A425</f>
        <v/>
      </c>
      <c r="P19" s="19">
        <f>com!A466</f>
        <v/>
      </c>
      <c r="Q19" s="19">
        <f>com!A507</f>
        <v/>
      </c>
      <c r="R19" s="19">
        <f>com!A548</f>
        <v/>
      </c>
      <c r="S19" s="19">
        <f>com!A589</f>
        <v/>
      </c>
      <c r="T19" s="19">
        <f>com!A630</f>
        <v/>
      </c>
      <c r="U19" s="19">
        <f>com!A671</f>
        <v/>
      </c>
      <c r="V19" s="19">
        <f>com!A712</f>
        <v/>
      </c>
      <c r="W19" s="19">
        <f>com!A753</f>
        <v/>
      </c>
      <c r="X19" s="19">
        <f>com!A794</f>
        <v/>
      </c>
      <c r="Y19" s="19">
        <f>com!A835</f>
        <v/>
      </c>
      <c r="Z19" s="19">
        <f>com!A876</f>
        <v/>
      </c>
      <c r="AA19" s="19">
        <f>com!A917</f>
        <v/>
      </c>
      <c r="AB19" s="19">
        <f>com!A958</f>
        <v/>
      </c>
      <c r="AC19" s="19">
        <f>com!A999</f>
        <v/>
      </c>
      <c r="AD19" s="19">
        <f>com!A1040</f>
        <v/>
      </c>
      <c r="AE19" s="19">
        <f>com!A1081</f>
        <v/>
      </c>
      <c r="AF19" s="19">
        <f>com!A1122</f>
        <v/>
      </c>
      <c r="AG19" s="19">
        <f>com!A1163</f>
        <v/>
      </c>
      <c r="AH19" s="19">
        <f>com!A1204</f>
        <v/>
      </c>
      <c r="AI19" s="19">
        <f>com!A1245</f>
        <v/>
      </c>
      <c r="AJ19" s="19">
        <f>com!A1286</f>
        <v/>
      </c>
    </row>
    <row r="20">
      <c r="B20" s="19" t="inlineStr">
        <is>
          <t>FLIGHT No. 3rd character</t>
        </is>
      </c>
      <c r="C20" s="19" t="n"/>
      <c r="D20" s="5" t="n"/>
      <c r="E20" s="19">
        <f>com!A16</f>
        <v/>
      </c>
      <c r="F20" s="19">
        <f>com!A57</f>
        <v/>
      </c>
      <c r="G20" s="19">
        <f>com!A98</f>
        <v/>
      </c>
      <c r="H20" s="19">
        <f>com!A139</f>
        <v/>
      </c>
      <c r="I20" s="19">
        <f>com!A180</f>
        <v/>
      </c>
      <c r="J20" s="19">
        <f>com!A221</f>
        <v/>
      </c>
      <c r="K20" s="19">
        <f>com!A262</f>
        <v/>
      </c>
      <c r="L20" s="19">
        <f>com!A303</f>
        <v/>
      </c>
      <c r="M20" s="19">
        <f>com!A344</f>
        <v/>
      </c>
      <c r="N20" s="19">
        <f>com!A385</f>
        <v/>
      </c>
      <c r="O20" s="19">
        <f>com!A426</f>
        <v/>
      </c>
      <c r="P20" s="19">
        <f>com!A467</f>
        <v/>
      </c>
      <c r="Q20" s="19">
        <f>com!A508</f>
        <v/>
      </c>
      <c r="R20" s="19">
        <f>com!A549</f>
        <v/>
      </c>
      <c r="S20" s="19">
        <f>com!A590</f>
        <v/>
      </c>
      <c r="T20" s="19">
        <f>com!A631</f>
        <v/>
      </c>
      <c r="U20" s="19">
        <f>com!A672</f>
        <v/>
      </c>
      <c r="V20" s="19">
        <f>com!A713</f>
        <v/>
      </c>
      <c r="W20" s="19">
        <f>com!A754</f>
        <v/>
      </c>
      <c r="X20" s="19">
        <f>com!A795</f>
        <v/>
      </c>
      <c r="Y20" s="19">
        <f>com!A836</f>
        <v/>
      </c>
      <c r="Z20" s="19">
        <f>com!A877</f>
        <v/>
      </c>
      <c r="AA20" s="19">
        <f>com!A918</f>
        <v/>
      </c>
      <c r="AB20" s="19">
        <f>com!A959</f>
        <v/>
      </c>
      <c r="AC20" s="19">
        <f>com!A1000</f>
        <v/>
      </c>
      <c r="AD20" s="19">
        <f>com!A1041</f>
        <v/>
      </c>
      <c r="AE20" s="19">
        <f>com!A1082</f>
        <v/>
      </c>
      <c r="AF20" s="19">
        <f>com!A1123</f>
        <v/>
      </c>
      <c r="AG20" s="19">
        <f>com!A1164</f>
        <v/>
      </c>
      <c r="AH20" s="19">
        <f>com!A1205</f>
        <v/>
      </c>
      <c r="AI20" s="19">
        <f>com!A1246</f>
        <v/>
      </c>
      <c r="AJ20" s="19">
        <f>com!A1287</f>
        <v/>
      </c>
    </row>
    <row r="21">
      <c r="B21" s="19" t="inlineStr">
        <is>
          <t>FLIGHT No. 4th character</t>
        </is>
      </c>
      <c r="C21" s="19" t="n"/>
      <c r="D21" s="5" t="n"/>
      <c r="E21" s="19">
        <f>com!A17</f>
        <v/>
      </c>
      <c r="F21" s="19">
        <f>com!A58</f>
        <v/>
      </c>
      <c r="G21" s="19">
        <f>com!A99</f>
        <v/>
      </c>
      <c r="H21" s="19">
        <f>com!A140</f>
        <v/>
      </c>
      <c r="I21" s="19">
        <f>com!A181</f>
        <v/>
      </c>
      <c r="J21" s="19">
        <f>com!A222</f>
        <v/>
      </c>
      <c r="K21" s="19">
        <f>com!A263</f>
        <v/>
      </c>
      <c r="L21" s="19">
        <f>com!A304</f>
        <v/>
      </c>
      <c r="M21" s="19">
        <f>com!A345</f>
        <v/>
      </c>
      <c r="N21" s="19">
        <f>com!A386</f>
        <v/>
      </c>
      <c r="O21" s="19">
        <f>com!A427</f>
        <v/>
      </c>
      <c r="P21" s="19">
        <f>com!A468</f>
        <v/>
      </c>
      <c r="Q21" s="19">
        <f>com!A509</f>
        <v/>
      </c>
      <c r="R21" s="19">
        <f>com!A550</f>
        <v/>
      </c>
      <c r="S21" s="19">
        <f>com!A591</f>
        <v/>
      </c>
      <c r="T21" s="19">
        <f>com!A632</f>
        <v/>
      </c>
      <c r="U21" s="19">
        <f>com!A673</f>
        <v/>
      </c>
      <c r="V21" s="19">
        <f>com!A714</f>
        <v/>
      </c>
      <c r="W21" s="19">
        <f>com!A755</f>
        <v/>
      </c>
      <c r="X21" s="19">
        <f>com!A796</f>
        <v/>
      </c>
      <c r="Y21" s="19">
        <f>com!A837</f>
        <v/>
      </c>
      <c r="Z21" s="19">
        <f>com!A878</f>
        <v/>
      </c>
      <c r="AA21" s="19">
        <f>com!A919</f>
        <v/>
      </c>
      <c r="AB21" s="19">
        <f>com!A960</f>
        <v/>
      </c>
      <c r="AC21" s="19">
        <f>com!A1001</f>
        <v/>
      </c>
      <c r="AD21" s="19">
        <f>com!A1042</f>
        <v/>
      </c>
      <c r="AE21" s="19">
        <f>com!A1083</f>
        <v/>
      </c>
      <c r="AF21" s="19">
        <f>com!A1124</f>
        <v/>
      </c>
      <c r="AG21" s="19">
        <f>com!A1165</f>
        <v/>
      </c>
      <c r="AH21" s="19">
        <f>com!A1206</f>
        <v/>
      </c>
      <c r="AI21" s="19">
        <f>com!A1247</f>
        <v/>
      </c>
      <c r="AJ21" s="19">
        <f>com!A1288</f>
        <v/>
      </c>
    </row>
    <row r="22">
      <c r="B22" s="19" t="inlineStr">
        <is>
          <t>FLIGHT No. 5th character</t>
        </is>
      </c>
      <c r="C22" s="19" t="n"/>
      <c r="D22" s="5" t="n"/>
      <c r="E22" s="19">
        <f>com!A18</f>
        <v/>
      </c>
      <c r="F22" s="19">
        <f>com!A59</f>
        <v/>
      </c>
      <c r="G22" s="19">
        <f>com!A100</f>
        <v/>
      </c>
      <c r="H22" s="19">
        <f>com!A141</f>
        <v/>
      </c>
      <c r="I22" s="19">
        <f>com!A182</f>
        <v/>
      </c>
      <c r="J22" s="19">
        <f>com!A223</f>
        <v/>
      </c>
      <c r="K22" s="19">
        <f>com!A264</f>
        <v/>
      </c>
      <c r="L22" s="19">
        <f>com!A305</f>
        <v/>
      </c>
      <c r="M22" s="19">
        <f>com!A346</f>
        <v/>
      </c>
      <c r="N22" s="19">
        <f>com!A387</f>
        <v/>
      </c>
      <c r="O22" s="19">
        <f>com!A428</f>
        <v/>
      </c>
      <c r="P22" s="19">
        <f>com!A469</f>
        <v/>
      </c>
      <c r="Q22" s="19">
        <f>com!A510</f>
        <v/>
      </c>
      <c r="R22" s="19">
        <f>com!A551</f>
        <v/>
      </c>
      <c r="S22" s="19">
        <f>com!A592</f>
        <v/>
      </c>
      <c r="T22" s="19">
        <f>com!A633</f>
        <v/>
      </c>
      <c r="U22" s="19">
        <f>com!A674</f>
        <v/>
      </c>
      <c r="V22" s="19">
        <f>com!A715</f>
        <v/>
      </c>
      <c r="W22" s="19">
        <f>com!A756</f>
        <v/>
      </c>
      <c r="X22" s="19">
        <f>com!A797</f>
        <v/>
      </c>
      <c r="Y22" s="19">
        <f>com!A838</f>
        <v/>
      </c>
      <c r="Z22" s="19">
        <f>com!A879</f>
        <v/>
      </c>
      <c r="AA22" s="19">
        <f>com!A920</f>
        <v/>
      </c>
      <c r="AB22" s="19">
        <f>com!A961</f>
        <v/>
      </c>
      <c r="AC22" s="19">
        <f>com!A1002</f>
        <v/>
      </c>
      <c r="AD22" s="19">
        <f>com!A1043</f>
        <v/>
      </c>
      <c r="AE22" s="19">
        <f>com!A1084</f>
        <v/>
      </c>
      <c r="AF22" s="19">
        <f>com!A1125</f>
        <v/>
      </c>
      <c r="AG22" s="19">
        <f>com!A1166</f>
        <v/>
      </c>
      <c r="AH22" s="19">
        <f>com!A1207</f>
        <v/>
      </c>
      <c r="AI22" s="19">
        <f>com!A1248</f>
        <v/>
      </c>
      <c r="AJ22" s="19">
        <f>com!A1289</f>
        <v/>
      </c>
    </row>
    <row r="23">
      <c r="B23" s="19" t="inlineStr">
        <is>
          <t>FLIGHT No. 6th character</t>
        </is>
      </c>
      <c r="C23" s="19" t="n"/>
      <c r="D23" s="5" t="n"/>
      <c r="E23" s="19">
        <f>com!A19</f>
        <v/>
      </c>
      <c r="F23" s="19">
        <f>com!A60</f>
        <v/>
      </c>
      <c r="G23" s="19">
        <f>com!A101</f>
        <v/>
      </c>
      <c r="H23" s="19">
        <f>com!A142</f>
        <v/>
      </c>
      <c r="I23" s="19">
        <f>com!A183</f>
        <v/>
      </c>
      <c r="J23" s="19">
        <f>com!A224</f>
        <v/>
      </c>
      <c r="K23" s="19">
        <f>com!A265</f>
        <v/>
      </c>
      <c r="L23" s="19">
        <f>com!A306</f>
        <v/>
      </c>
      <c r="M23" s="19">
        <f>com!A347</f>
        <v/>
      </c>
      <c r="N23" s="19">
        <f>com!A388</f>
        <v/>
      </c>
      <c r="O23" s="19">
        <f>com!A429</f>
        <v/>
      </c>
      <c r="P23" s="19">
        <f>com!A470</f>
        <v/>
      </c>
      <c r="Q23" s="19">
        <f>com!A511</f>
        <v/>
      </c>
      <c r="R23" s="19">
        <f>com!A552</f>
        <v/>
      </c>
      <c r="S23" s="19">
        <f>com!A593</f>
        <v/>
      </c>
      <c r="T23" s="19">
        <f>com!A634</f>
        <v/>
      </c>
      <c r="U23" s="19">
        <f>com!A675</f>
        <v/>
      </c>
      <c r="V23" s="19">
        <f>com!A716</f>
        <v/>
      </c>
      <c r="W23" s="19">
        <f>com!A757</f>
        <v/>
      </c>
      <c r="X23" s="19">
        <f>com!A798</f>
        <v/>
      </c>
      <c r="Y23" s="19">
        <f>com!A839</f>
        <v/>
      </c>
      <c r="Z23" s="19">
        <f>com!A880</f>
        <v/>
      </c>
      <c r="AA23" s="19">
        <f>com!A921</f>
        <v/>
      </c>
      <c r="AB23" s="19">
        <f>com!A962</f>
        <v/>
      </c>
      <c r="AC23" s="19">
        <f>com!A1003</f>
        <v/>
      </c>
      <c r="AD23" s="19">
        <f>com!A1044</f>
        <v/>
      </c>
      <c r="AE23" s="19">
        <f>com!A1085</f>
        <v/>
      </c>
      <c r="AF23" s="19">
        <f>com!A1126</f>
        <v/>
      </c>
      <c r="AG23" s="19">
        <f>com!A1167</f>
        <v/>
      </c>
      <c r="AH23" s="19">
        <f>com!A1208</f>
        <v/>
      </c>
      <c r="AI23" s="19">
        <f>com!A1249</f>
        <v/>
      </c>
      <c r="AJ23" s="19">
        <f>com!A1290</f>
        <v/>
      </c>
    </row>
    <row r="24">
      <c r="B24" s="19" t="inlineStr">
        <is>
          <t>FLIGHT No. 7th character</t>
        </is>
      </c>
      <c r="C24" s="19" t="n"/>
      <c r="D24" s="5" t="n"/>
      <c r="E24" s="19">
        <f>com!A20</f>
        <v/>
      </c>
      <c r="F24" s="19">
        <f>com!A61</f>
        <v/>
      </c>
      <c r="G24" s="19">
        <f>com!A102</f>
        <v/>
      </c>
      <c r="H24" s="19">
        <f>com!A143</f>
        <v/>
      </c>
      <c r="I24" s="19">
        <f>com!A184</f>
        <v/>
      </c>
      <c r="J24" s="19">
        <f>com!A225</f>
        <v/>
      </c>
      <c r="K24" s="19">
        <f>com!A266</f>
        <v/>
      </c>
      <c r="L24" s="19">
        <f>com!A307</f>
        <v/>
      </c>
      <c r="M24" s="19">
        <f>com!A348</f>
        <v/>
      </c>
      <c r="N24" s="19">
        <f>com!A389</f>
        <v/>
      </c>
      <c r="O24" s="19">
        <f>com!A430</f>
        <v/>
      </c>
      <c r="P24" s="19">
        <f>com!A471</f>
        <v/>
      </c>
      <c r="Q24" s="19">
        <f>com!A512</f>
        <v/>
      </c>
      <c r="R24" s="19">
        <f>com!A553</f>
        <v/>
      </c>
      <c r="S24" s="19">
        <f>com!A594</f>
        <v/>
      </c>
      <c r="T24" s="19">
        <f>com!A635</f>
        <v/>
      </c>
      <c r="U24" s="19">
        <f>com!A676</f>
        <v/>
      </c>
      <c r="V24" s="19">
        <f>com!A717</f>
        <v/>
      </c>
      <c r="W24" s="19">
        <f>com!A758</f>
        <v/>
      </c>
      <c r="X24" s="19">
        <f>com!A799</f>
        <v/>
      </c>
      <c r="Y24" s="19">
        <f>com!A840</f>
        <v/>
      </c>
      <c r="Z24" s="19">
        <f>com!A881</f>
        <v/>
      </c>
      <c r="AA24" s="19">
        <f>com!A922</f>
        <v/>
      </c>
      <c r="AB24" s="19">
        <f>com!A963</f>
        <v/>
      </c>
      <c r="AC24" s="19">
        <f>com!A1004</f>
        <v/>
      </c>
      <c r="AD24" s="19">
        <f>com!A1045</f>
        <v/>
      </c>
      <c r="AE24" s="19">
        <f>com!A1086</f>
        <v/>
      </c>
      <c r="AF24" s="19">
        <f>com!A1127</f>
        <v/>
      </c>
      <c r="AG24" s="19">
        <f>com!A1168</f>
        <v/>
      </c>
      <c r="AH24" s="19">
        <f>com!A1209</f>
        <v/>
      </c>
      <c r="AI24" s="19">
        <f>com!A1250</f>
        <v/>
      </c>
      <c r="AJ24" s="19">
        <f>com!A1291</f>
        <v/>
      </c>
    </row>
    <row r="25">
      <c r="B25" s="19" t="inlineStr">
        <is>
          <t>FLIGHT No. 8th character</t>
        </is>
      </c>
      <c r="C25" s="19" t="n"/>
      <c r="D25" s="5">
        <f>CHAR(HEX2DEC(E25))</f>
        <v/>
      </c>
      <c r="E25" s="19">
        <f>com!A21</f>
        <v/>
      </c>
      <c r="F25" s="19">
        <f>com!A62</f>
        <v/>
      </c>
      <c r="G25" s="19">
        <f>com!A103</f>
        <v/>
      </c>
      <c r="H25" s="19">
        <f>com!A144</f>
        <v/>
      </c>
      <c r="I25" s="19">
        <f>com!A185</f>
        <v/>
      </c>
      <c r="J25" s="19">
        <f>com!A226</f>
        <v/>
      </c>
      <c r="K25" s="19">
        <f>com!A267</f>
        <v/>
      </c>
      <c r="L25" s="19">
        <f>com!A308</f>
        <v/>
      </c>
      <c r="M25" s="19">
        <f>com!A349</f>
        <v/>
      </c>
      <c r="N25" s="19">
        <f>com!A390</f>
        <v/>
      </c>
      <c r="O25" s="19">
        <f>com!A431</f>
        <v/>
      </c>
      <c r="P25" s="19">
        <f>com!A472</f>
        <v/>
      </c>
      <c r="Q25" s="19">
        <f>com!A513</f>
        <v/>
      </c>
      <c r="R25" s="19">
        <f>com!A554</f>
        <v/>
      </c>
      <c r="S25" s="19">
        <f>com!A595</f>
        <v/>
      </c>
      <c r="T25" s="19">
        <f>com!A636</f>
        <v/>
      </c>
      <c r="U25" s="19">
        <f>com!A677</f>
        <v/>
      </c>
      <c r="V25" s="19">
        <f>com!A718</f>
        <v/>
      </c>
      <c r="W25" s="19">
        <f>com!A759</f>
        <v/>
      </c>
      <c r="X25" s="19">
        <f>com!A800</f>
        <v/>
      </c>
      <c r="Y25" s="19">
        <f>com!A841</f>
        <v/>
      </c>
      <c r="Z25" s="19">
        <f>com!A882</f>
        <v/>
      </c>
      <c r="AA25" s="19">
        <f>com!A923</f>
        <v/>
      </c>
      <c r="AB25" s="19">
        <f>com!A964</f>
        <v/>
      </c>
      <c r="AC25" s="19">
        <f>com!A1005</f>
        <v/>
      </c>
      <c r="AD25" s="19">
        <f>com!A1046</f>
        <v/>
      </c>
      <c r="AE25" s="19">
        <f>com!A1087</f>
        <v/>
      </c>
      <c r="AF25" s="19">
        <f>com!A1128</f>
        <v/>
      </c>
      <c r="AG25" s="19">
        <f>com!A1169</f>
        <v/>
      </c>
      <c r="AH25" s="19">
        <f>com!A1210</f>
        <v/>
      </c>
      <c r="AI25" s="19">
        <f>com!A1251</f>
        <v/>
      </c>
      <c r="AJ25" s="19">
        <f>com!A1292</f>
        <v/>
      </c>
    </row>
    <row r="26">
      <c r="B26" s="19" t="inlineStr">
        <is>
          <t>GREENWICH MEAN TIME, hours</t>
        </is>
      </c>
      <c r="C26" s="19" t="n"/>
      <c r="D26" s="19" t="n"/>
      <c r="E26" s="19">
        <f>com!A22</f>
        <v/>
      </c>
      <c r="F26" s="19">
        <f>com!A63</f>
        <v/>
      </c>
      <c r="G26" s="19">
        <f>com!A104</f>
        <v/>
      </c>
      <c r="H26" s="19">
        <f>com!A145</f>
        <v/>
      </c>
      <c r="I26" s="19">
        <f>com!A186</f>
        <v/>
      </c>
      <c r="J26" s="19">
        <f>com!A227</f>
        <v/>
      </c>
      <c r="K26" s="19">
        <f>com!A268</f>
        <v/>
      </c>
      <c r="L26" s="19">
        <f>com!A309</f>
        <v/>
      </c>
      <c r="M26" s="19">
        <f>com!A350</f>
        <v/>
      </c>
      <c r="N26" s="19">
        <f>com!A391</f>
        <v/>
      </c>
      <c r="O26" s="19">
        <f>com!A432</f>
        <v/>
      </c>
      <c r="P26" s="19">
        <f>com!A473</f>
        <v/>
      </c>
      <c r="Q26" s="19">
        <f>com!A514</f>
        <v/>
      </c>
      <c r="R26" s="19">
        <f>com!A555</f>
        <v/>
      </c>
      <c r="S26" s="19">
        <f>com!A596</f>
        <v/>
      </c>
      <c r="T26" s="19">
        <f>com!A637</f>
        <v/>
      </c>
      <c r="U26" s="19">
        <f>com!A678</f>
        <v/>
      </c>
      <c r="V26" s="19">
        <f>com!A719</f>
        <v/>
      </c>
      <c r="W26" s="19">
        <f>com!A760</f>
        <v/>
      </c>
      <c r="X26" s="19">
        <f>com!A801</f>
        <v/>
      </c>
      <c r="Y26" s="19">
        <f>com!A842</f>
        <v/>
      </c>
      <c r="Z26" s="19">
        <f>com!A883</f>
        <v/>
      </c>
      <c r="AA26" s="19">
        <f>com!A924</f>
        <v/>
      </c>
      <c r="AB26" s="19">
        <f>com!A965</f>
        <v/>
      </c>
      <c r="AC26" s="19">
        <f>com!A1006</f>
        <v/>
      </c>
      <c r="AD26" s="19">
        <f>com!A1047</f>
        <v/>
      </c>
      <c r="AE26" s="19">
        <f>com!A1088</f>
        <v/>
      </c>
      <c r="AF26" s="19">
        <f>com!A1129</f>
        <v/>
      </c>
      <c r="AG26" s="19">
        <f>com!A1170</f>
        <v/>
      </c>
      <c r="AH26" s="19">
        <f>com!A1211</f>
        <v/>
      </c>
      <c r="AI26" s="19">
        <f>com!A1252</f>
        <v/>
      </c>
      <c r="AJ26" s="19">
        <f>com!A1293</f>
        <v/>
      </c>
    </row>
    <row r="27">
      <c r="B27" s="19" t="inlineStr">
        <is>
          <t>GREENWICH MEAN TIME, minutes</t>
        </is>
      </c>
      <c r="C27" s="19" t="n"/>
      <c r="D27" s="19" t="n"/>
      <c r="E27" s="19">
        <f>com!A23</f>
        <v/>
      </c>
      <c r="F27" s="19">
        <f>com!A64</f>
        <v/>
      </c>
      <c r="G27" s="19">
        <f>com!A105</f>
        <v/>
      </c>
      <c r="H27" s="19">
        <f>com!A146</f>
        <v/>
      </c>
      <c r="I27" s="19">
        <f>com!A187</f>
        <v/>
      </c>
      <c r="J27" s="19">
        <f>com!A228</f>
        <v/>
      </c>
      <c r="K27" s="19">
        <f>com!A269</f>
        <v/>
      </c>
      <c r="L27" s="19">
        <f>com!A310</f>
        <v/>
      </c>
      <c r="M27" s="19">
        <f>com!A351</f>
        <v/>
      </c>
      <c r="N27" s="19">
        <f>com!A392</f>
        <v/>
      </c>
      <c r="O27" s="19">
        <f>com!A433</f>
        <v/>
      </c>
      <c r="P27" s="19">
        <f>com!A474</f>
        <v/>
      </c>
      <c r="Q27" s="19">
        <f>com!A515</f>
        <v/>
      </c>
      <c r="R27" s="19">
        <f>com!A556</f>
        <v/>
      </c>
      <c r="S27" s="19">
        <f>com!A597</f>
        <v/>
      </c>
      <c r="T27" s="19">
        <f>com!A638</f>
        <v/>
      </c>
      <c r="U27" s="19">
        <f>com!A679</f>
        <v/>
      </c>
      <c r="V27" s="19">
        <f>com!A720</f>
        <v/>
      </c>
      <c r="W27" s="19">
        <f>com!A761</f>
        <v/>
      </c>
      <c r="X27" s="19">
        <f>com!A802</f>
        <v/>
      </c>
      <c r="Y27" s="19">
        <f>com!A843</f>
        <v/>
      </c>
      <c r="Z27" s="19">
        <f>com!A884</f>
        <v/>
      </c>
      <c r="AA27" s="19">
        <f>com!A925</f>
        <v/>
      </c>
      <c r="AB27" s="19">
        <f>com!A966</f>
        <v/>
      </c>
      <c r="AC27" s="19">
        <f>com!A1007</f>
        <v/>
      </c>
      <c r="AD27" s="19">
        <f>com!A1048</f>
        <v/>
      </c>
      <c r="AE27" s="19">
        <f>com!A1089</f>
        <v/>
      </c>
      <c r="AF27" s="19">
        <f>com!A1130</f>
        <v/>
      </c>
      <c r="AG27" s="19">
        <f>com!A1171</f>
        <v/>
      </c>
      <c r="AH27" s="19">
        <f>com!A1212</f>
        <v/>
      </c>
      <c r="AI27" s="19">
        <f>com!A1253</f>
        <v/>
      </c>
      <c r="AJ27" s="19">
        <f>com!A1294</f>
        <v/>
      </c>
    </row>
    <row r="28">
      <c r="B28" s="19" t="inlineStr">
        <is>
          <t>GREENWICH MEAN TIME, seconds</t>
        </is>
      </c>
      <c r="C28" s="19" t="n"/>
      <c r="D28" s="19" t="n"/>
      <c r="E28" s="19">
        <f>com!A24</f>
        <v/>
      </c>
      <c r="F28" s="19">
        <f>com!A65</f>
        <v/>
      </c>
      <c r="G28" s="19">
        <f>com!A106</f>
        <v/>
      </c>
      <c r="H28" s="19">
        <f>com!A147</f>
        <v/>
      </c>
      <c r="I28" s="19">
        <f>com!A188</f>
        <v/>
      </c>
      <c r="J28" s="19">
        <f>com!A229</f>
        <v/>
      </c>
      <c r="K28" s="19">
        <f>com!A270</f>
        <v/>
      </c>
      <c r="L28" s="19">
        <f>com!A311</f>
        <v/>
      </c>
      <c r="M28" s="19">
        <f>com!A352</f>
        <v/>
      </c>
      <c r="N28" s="19">
        <f>com!A393</f>
        <v/>
      </c>
      <c r="O28" s="19">
        <f>com!A434</f>
        <v/>
      </c>
      <c r="P28" s="19">
        <f>com!A475</f>
        <v/>
      </c>
      <c r="Q28" s="19">
        <f>com!A516</f>
        <v/>
      </c>
      <c r="R28" s="19">
        <f>com!A557</f>
        <v/>
      </c>
      <c r="S28" s="19">
        <f>com!A598</f>
        <v/>
      </c>
      <c r="T28" s="19">
        <f>com!A639</f>
        <v/>
      </c>
      <c r="U28" s="19">
        <f>com!A680</f>
        <v/>
      </c>
      <c r="V28" s="19">
        <f>com!A721</f>
        <v/>
      </c>
      <c r="W28" s="19">
        <f>com!A762</f>
        <v/>
      </c>
      <c r="X28" s="19">
        <f>com!A803</f>
        <v/>
      </c>
      <c r="Y28" s="19">
        <f>com!A844</f>
        <v/>
      </c>
      <c r="Z28" s="19">
        <f>com!A885</f>
        <v/>
      </c>
      <c r="AA28" s="19">
        <f>com!A926</f>
        <v/>
      </c>
      <c r="AB28" s="19">
        <f>com!A967</f>
        <v/>
      </c>
      <c r="AC28" s="19">
        <f>com!A1008</f>
        <v/>
      </c>
      <c r="AD28" s="19">
        <f>com!A1049</f>
        <v/>
      </c>
      <c r="AE28" s="19">
        <f>com!A1090</f>
        <v/>
      </c>
      <c r="AF28" s="19">
        <f>com!A1131</f>
        <v/>
      </c>
      <c r="AG28" s="19">
        <f>com!A1172</f>
        <v/>
      </c>
      <c r="AH28" s="19">
        <f>com!A1213</f>
        <v/>
      </c>
      <c r="AI28" s="19">
        <f>com!A1254</f>
        <v/>
      </c>
      <c r="AJ28" s="19">
        <f>com!A1295</f>
        <v/>
      </c>
    </row>
    <row r="29">
      <c r="B29" s="19" t="inlineStr">
        <is>
          <t>DATE, day</t>
        </is>
      </c>
      <c r="C29" s="19" t="n"/>
      <c r="D29" s="5" t="n"/>
      <c r="E29" s="19">
        <f>com!A25</f>
        <v/>
      </c>
      <c r="F29" s="19">
        <f>com!A66</f>
        <v/>
      </c>
      <c r="G29" s="19">
        <f>com!A107</f>
        <v/>
      </c>
      <c r="H29" s="19">
        <f>com!A148</f>
        <v/>
      </c>
      <c r="I29" s="19">
        <f>com!A189</f>
        <v/>
      </c>
      <c r="J29" s="19">
        <f>com!A230</f>
        <v/>
      </c>
      <c r="K29" s="19">
        <f>com!A271</f>
        <v/>
      </c>
      <c r="L29" s="19">
        <f>com!A312</f>
        <v/>
      </c>
      <c r="M29" s="19">
        <f>com!A353</f>
        <v/>
      </c>
      <c r="N29" s="19">
        <f>com!A394</f>
        <v/>
      </c>
      <c r="O29" s="19">
        <f>com!A435</f>
        <v/>
      </c>
      <c r="P29" s="19">
        <f>com!A476</f>
        <v/>
      </c>
      <c r="Q29" s="19">
        <f>com!A517</f>
        <v/>
      </c>
      <c r="R29" s="19">
        <f>com!A558</f>
        <v/>
      </c>
      <c r="S29" s="19">
        <f>com!A599</f>
        <v/>
      </c>
      <c r="T29" s="19">
        <f>com!A640</f>
        <v/>
      </c>
      <c r="U29" s="19">
        <f>com!A681</f>
        <v/>
      </c>
      <c r="V29" s="19">
        <f>com!A722</f>
        <v/>
      </c>
      <c r="W29" s="19">
        <f>com!A763</f>
        <v/>
      </c>
      <c r="X29" s="19">
        <f>com!A804</f>
        <v/>
      </c>
      <c r="Y29" s="19">
        <f>com!A845</f>
        <v/>
      </c>
      <c r="Z29" s="19">
        <f>com!A886</f>
        <v/>
      </c>
      <c r="AA29" s="19">
        <f>com!A927</f>
        <v/>
      </c>
      <c r="AB29" s="19">
        <f>com!A968</f>
        <v/>
      </c>
      <c r="AC29" s="19">
        <f>com!A1009</f>
        <v/>
      </c>
      <c r="AD29" s="19">
        <f>com!A1050</f>
        <v/>
      </c>
      <c r="AE29" s="19">
        <f>com!A1091</f>
        <v/>
      </c>
      <c r="AF29" s="19">
        <f>com!A1132</f>
        <v/>
      </c>
      <c r="AG29" s="19">
        <f>com!A1173</f>
        <v/>
      </c>
      <c r="AH29" s="19">
        <f>com!A1214</f>
        <v/>
      </c>
      <c r="AI29" s="19">
        <f>com!A1255</f>
        <v/>
      </c>
      <c r="AJ29" s="19">
        <f>com!A1296</f>
        <v/>
      </c>
    </row>
    <row r="30">
      <c r="B30" s="19" t="inlineStr">
        <is>
          <t>DATE, month</t>
        </is>
      </c>
      <c r="C30" s="19" t="n"/>
      <c r="D30" s="5" t="n"/>
      <c r="E30" s="19">
        <f>com!A26</f>
        <v/>
      </c>
      <c r="F30" s="19">
        <f>com!A67</f>
        <v/>
      </c>
      <c r="G30" s="19">
        <f>com!A108</f>
        <v/>
      </c>
      <c r="H30" s="19">
        <f>com!A149</f>
        <v/>
      </c>
      <c r="I30" s="19">
        <f>com!A190</f>
        <v/>
      </c>
      <c r="J30" s="19">
        <f>com!A231</f>
        <v/>
      </c>
      <c r="K30" s="19">
        <f>com!A272</f>
        <v/>
      </c>
      <c r="L30" s="19">
        <f>com!A313</f>
        <v/>
      </c>
      <c r="M30" s="19">
        <f>com!A354</f>
        <v/>
      </c>
      <c r="N30" s="19">
        <f>com!A395</f>
        <v/>
      </c>
      <c r="O30" s="19">
        <f>com!A436</f>
        <v/>
      </c>
      <c r="P30" s="19">
        <f>com!A477</f>
        <v/>
      </c>
      <c r="Q30" s="19">
        <f>com!A518</f>
        <v/>
      </c>
      <c r="R30" s="19">
        <f>com!A559</f>
        <v/>
      </c>
      <c r="S30" s="19">
        <f>com!A600</f>
        <v/>
      </c>
      <c r="T30" s="19">
        <f>com!A641</f>
        <v/>
      </c>
      <c r="U30" s="19">
        <f>com!A682</f>
        <v/>
      </c>
      <c r="V30" s="19">
        <f>com!A723</f>
        <v/>
      </c>
      <c r="W30" s="19">
        <f>com!A764</f>
        <v/>
      </c>
      <c r="X30" s="19">
        <f>com!A805</f>
        <v/>
      </c>
      <c r="Y30" s="19">
        <f>com!A846</f>
        <v/>
      </c>
      <c r="Z30" s="19">
        <f>com!A887</f>
        <v/>
      </c>
      <c r="AA30" s="19">
        <f>com!A928</f>
        <v/>
      </c>
      <c r="AB30" s="19">
        <f>com!A969</f>
        <v/>
      </c>
      <c r="AC30" s="19">
        <f>com!A1010</f>
        <v/>
      </c>
      <c r="AD30" s="19">
        <f>com!A1051</f>
        <v/>
      </c>
      <c r="AE30" s="19">
        <f>com!A1092</f>
        <v/>
      </c>
      <c r="AF30" s="19">
        <f>com!A1133</f>
        <v/>
      </c>
      <c r="AG30" s="19">
        <f>com!A1174</f>
        <v/>
      </c>
      <c r="AH30" s="19">
        <f>com!A1215</f>
        <v/>
      </c>
      <c r="AI30" s="19">
        <f>com!A1256</f>
        <v/>
      </c>
      <c r="AJ30" s="19">
        <f>com!A1297</f>
        <v/>
      </c>
    </row>
    <row r="31">
      <c r="B31" s="19" t="inlineStr">
        <is>
          <t>DATE, year</t>
        </is>
      </c>
      <c r="C31" s="19" t="n"/>
      <c r="D31" s="5" t="n"/>
      <c r="E31" s="19">
        <f>com!A27</f>
        <v/>
      </c>
      <c r="F31" s="19">
        <f>com!A68</f>
        <v/>
      </c>
      <c r="G31" s="19">
        <f>com!A109</f>
        <v/>
      </c>
      <c r="H31" s="19">
        <f>com!A150</f>
        <v/>
      </c>
      <c r="I31" s="19">
        <f>com!A191</f>
        <v/>
      </c>
      <c r="J31" s="19">
        <f>com!A232</f>
        <v/>
      </c>
      <c r="K31" s="19">
        <f>com!A273</f>
        <v/>
      </c>
      <c r="L31" s="19">
        <f>com!A314</f>
        <v/>
      </c>
      <c r="M31" s="19">
        <f>com!A355</f>
        <v/>
      </c>
      <c r="N31" s="19">
        <f>com!A396</f>
        <v/>
      </c>
      <c r="O31" s="19">
        <f>com!A437</f>
        <v/>
      </c>
      <c r="P31" s="19">
        <f>com!A478</f>
        <v/>
      </c>
      <c r="Q31" s="19">
        <f>com!A519</f>
        <v/>
      </c>
      <c r="R31" s="19">
        <f>com!A560</f>
        <v/>
      </c>
      <c r="S31" s="19">
        <f>com!A601</f>
        <v/>
      </c>
      <c r="T31" s="19">
        <f>com!A642</f>
        <v/>
      </c>
      <c r="U31" s="19">
        <f>com!A683</f>
        <v/>
      </c>
      <c r="V31" s="19">
        <f>com!A724</f>
        <v/>
      </c>
      <c r="W31" s="19">
        <f>com!A765</f>
        <v/>
      </c>
      <c r="X31" s="19">
        <f>com!A806</f>
        <v/>
      </c>
      <c r="Y31" s="19">
        <f>com!A847</f>
        <v/>
      </c>
      <c r="Z31" s="19">
        <f>com!A888</f>
        <v/>
      </c>
      <c r="AA31" s="19">
        <f>com!A929</f>
        <v/>
      </c>
      <c r="AB31" s="19">
        <f>com!A970</f>
        <v/>
      </c>
      <c r="AC31" s="19">
        <f>com!A1011</f>
        <v/>
      </c>
      <c r="AD31" s="19">
        <f>com!A1052</f>
        <v/>
      </c>
      <c r="AE31" s="19">
        <f>com!A1093</f>
        <v/>
      </c>
      <c r="AF31" s="19">
        <f>com!A1134</f>
        <v/>
      </c>
      <c r="AG31" s="19">
        <f>com!A1175</f>
        <v/>
      </c>
      <c r="AH31" s="19">
        <f>com!A1216</f>
        <v/>
      </c>
      <c r="AI31" s="19">
        <f>com!A1257</f>
        <v/>
      </c>
      <c r="AJ31" s="19">
        <f>com!A1298</f>
        <v/>
      </c>
    </row>
    <row r="32">
      <c r="B32" s="19" t="inlineStr">
        <is>
          <t>INTERNAL LRU NUMBER</t>
        </is>
      </c>
      <c r="C32" s="19" t="n"/>
      <c r="D32" s="19" t="n"/>
      <c r="E32" s="19">
        <f>com!A28</f>
        <v/>
      </c>
      <c r="F32" s="19">
        <f>com!A69</f>
        <v/>
      </c>
      <c r="G32" s="19">
        <f>com!A110</f>
        <v/>
      </c>
      <c r="H32" s="19">
        <f>com!A151</f>
        <v/>
      </c>
      <c r="I32" s="19">
        <f>com!A192</f>
        <v/>
      </c>
      <c r="J32" s="19">
        <f>com!A233</f>
        <v/>
      </c>
      <c r="K32" s="19">
        <f>com!A274</f>
        <v/>
      </c>
      <c r="L32" s="19">
        <f>com!A315</f>
        <v/>
      </c>
      <c r="M32" s="19">
        <f>com!A356</f>
        <v/>
      </c>
      <c r="N32" s="19">
        <f>com!A397</f>
        <v/>
      </c>
      <c r="O32" s="19">
        <f>com!A438</f>
        <v/>
      </c>
      <c r="P32" s="19">
        <f>com!A479</f>
        <v/>
      </c>
      <c r="Q32" s="19">
        <f>com!A520</f>
        <v/>
      </c>
      <c r="R32" s="19">
        <f>com!A561</f>
        <v/>
      </c>
      <c r="S32" s="19">
        <f>com!A602</f>
        <v/>
      </c>
      <c r="T32" s="19">
        <f>com!A643</f>
        <v/>
      </c>
      <c r="U32" s="19">
        <f>com!A684</f>
        <v/>
      </c>
      <c r="V32" s="19">
        <f>com!A725</f>
        <v/>
      </c>
      <c r="W32" s="19">
        <f>com!A766</f>
        <v/>
      </c>
      <c r="X32" s="19">
        <f>com!A807</f>
        <v/>
      </c>
      <c r="Y32" s="19">
        <f>com!A848</f>
        <v/>
      </c>
      <c r="Z32" s="19">
        <f>com!A889</f>
        <v/>
      </c>
      <c r="AA32" s="19">
        <f>com!A930</f>
        <v/>
      </c>
      <c r="AB32" s="19">
        <f>com!A971</f>
        <v/>
      </c>
      <c r="AC32" s="19">
        <f>com!A1012</f>
        <v/>
      </c>
      <c r="AD32" s="19">
        <f>com!A1053</f>
        <v/>
      </c>
      <c r="AE32" s="19">
        <f>com!A1094</f>
        <v/>
      </c>
      <c r="AF32" s="19">
        <f>com!A1135</f>
        <v/>
      </c>
      <c r="AG32" s="19">
        <f>com!A1176</f>
        <v/>
      </c>
      <c r="AH32" s="19">
        <f>com!A1217</f>
        <v/>
      </c>
      <c r="AI32" s="19">
        <f>com!A1258</f>
        <v/>
      </c>
      <c r="AJ32" s="19">
        <f>com!A1299</f>
        <v/>
      </c>
    </row>
    <row r="33">
      <c r="B33" s="6" t="inlineStr">
        <is>
          <t>BIT FAULT MATRIX, LSB of 1st word</t>
        </is>
      </c>
      <c r="C33" s="6" t="n"/>
      <c r="D33" s="6" t="n"/>
      <c r="E33" s="19">
        <f>com!A29</f>
        <v/>
      </c>
      <c r="F33" s="19">
        <f>com!A70</f>
        <v/>
      </c>
      <c r="G33" s="19">
        <f>com!A111</f>
        <v/>
      </c>
      <c r="H33" s="19">
        <f>com!A152</f>
        <v/>
      </c>
      <c r="I33" s="19">
        <f>com!A193</f>
        <v/>
      </c>
      <c r="J33" s="19">
        <f>com!A234</f>
        <v/>
      </c>
      <c r="K33" s="19">
        <f>com!A275</f>
        <v/>
      </c>
      <c r="L33" s="19">
        <f>com!A316</f>
        <v/>
      </c>
      <c r="M33" s="19">
        <f>com!A357</f>
        <v/>
      </c>
      <c r="N33" s="19">
        <f>com!A398</f>
        <v/>
      </c>
      <c r="O33" s="19">
        <f>com!A439</f>
        <v/>
      </c>
      <c r="P33" s="19">
        <f>com!A480</f>
        <v/>
      </c>
      <c r="Q33" s="19">
        <f>com!A521</f>
        <v/>
      </c>
      <c r="R33" s="19">
        <f>com!A562</f>
        <v/>
      </c>
      <c r="S33" s="19">
        <f>com!A603</f>
        <v/>
      </c>
      <c r="T33" s="19">
        <f>com!A644</f>
        <v/>
      </c>
      <c r="U33" s="19">
        <f>com!A685</f>
        <v/>
      </c>
      <c r="V33" s="19">
        <f>com!A726</f>
        <v/>
      </c>
      <c r="W33" s="19">
        <f>com!A767</f>
        <v/>
      </c>
      <c r="X33" s="19">
        <f>com!A808</f>
        <v/>
      </c>
      <c r="Y33" s="19">
        <f>com!A849</f>
        <v/>
      </c>
      <c r="Z33" s="19">
        <f>com!A890</f>
        <v/>
      </c>
      <c r="AA33" s="19">
        <f>com!A931</f>
        <v/>
      </c>
      <c r="AB33" s="19">
        <f>com!A972</f>
        <v/>
      </c>
      <c r="AC33" s="19">
        <f>com!A1013</f>
        <v/>
      </c>
      <c r="AD33" s="19">
        <f>com!A1054</f>
        <v/>
      </c>
      <c r="AE33" s="19">
        <f>com!A1095</f>
        <v/>
      </c>
      <c r="AF33" s="19">
        <f>com!A1136</f>
        <v/>
      </c>
      <c r="AG33" s="19">
        <f>com!A1177</f>
        <v/>
      </c>
      <c r="AH33" s="19">
        <f>com!A1218</f>
        <v/>
      </c>
      <c r="AI33" s="19">
        <f>com!A1259</f>
        <v/>
      </c>
      <c r="AJ33" s="19">
        <f>com!A1300</f>
        <v/>
      </c>
    </row>
    <row r="34">
      <c r="B34" s="6" t="inlineStr">
        <is>
          <t>BIT FAULT MATRIX, MSB of 1st word</t>
        </is>
      </c>
      <c r="C34" s="6" t="n"/>
      <c r="D34" s="6" t="n"/>
      <c r="E34" s="19">
        <f>com!A30</f>
        <v/>
      </c>
      <c r="F34" s="19">
        <f>com!A71</f>
        <v/>
      </c>
      <c r="G34" s="19">
        <f>com!A112</f>
        <v/>
      </c>
      <c r="H34" s="19">
        <f>com!A153</f>
        <v/>
      </c>
      <c r="I34" s="19">
        <f>com!A194</f>
        <v/>
      </c>
      <c r="J34" s="19">
        <f>com!A235</f>
        <v/>
      </c>
      <c r="K34" s="19">
        <f>com!A276</f>
        <v/>
      </c>
      <c r="L34" s="19">
        <f>com!A317</f>
        <v/>
      </c>
      <c r="M34" s="19">
        <f>com!A358</f>
        <v/>
      </c>
      <c r="N34" s="19">
        <f>com!A399</f>
        <v/>
      </c>
      <c r="O34" s="19">
        <f>com!A440</f>
        <v/>
      </c>
      <c r="P34" s="19">
        <f>com!A481</f>
        <v/>
      </c>
      <c r="Q34" s="19">
        <f>com!A522</f>
        <v/>
      </c>
      <c r="R34" s="19">
        <f>com!A563</f>
        <v/>
      </c>
      <c r="S34" s="19">
        <f>com!A604</f>
        <v/>
      </c>
      <c r="T34" s="19">
        <f>com!A645</f>
        <v/>
      </c>
      <c r="U34" s="19">
        <f>com!A686</f>
        <v/>
      </c>
      <c r="V34" s="19">
        <f>com!A727</f>
        <v/>
      </c>
      <c r="W34" s="19">
        <f>com!A768</f>
        <v/>
      </c>
      <c r="X34" s="19">
        <f>com!A809</f>
        <v/>
      </c>
      <c r="Y34" s="19">
        <f>com!A850</f>
        <v/>
      </c>
      <c r="Z34" s="19">
        <f>com!A891</f>
        <v/>
      </c>
      <c r="AA34" s="19">
        <f>com!A932</f>
        <v/>
      </c>
      <c r="AB34" s="19">
        <f>com!A973</f>
        <v/>
      </c>
      <c r="AC34" s="19">
        <f>com!A1014</f>
        <v/>
      </c>
      <c r="AD34" s="19">
        <f>com!A1055</f>
        <v/>
      </c>
      <c r="AE34" s="19">
        <f>com!A1096</f>
        <v/>
      </c>
      <c r="AF34" s="19">
        <f>com!A1137</f>
        <v/>
      </c>
      <c r="AG34" s="19">
        <f>com!A1178</f>
        <v/>
      </c>
      <c r="AH34" s="19">
        <f>com!A1219</f>
        <v/>
      </c>
      <c r="AI34" s="19">
        <f>com!A1260</f>
        <v/>
      </c>
      <c r="AJ34" s="19">
        <f>com!A1301</f>
        <v/>
      </c>
    </row>
    <row r="35">
      <c r="B35" s="6" t="inlineStr">
        <is>
          <t>BIT FAULT MATRIX, LSB of 2nd word</t>
        </is>
      </c>
      <c r="C35" s="6" t="n"/>
      <c r="D35" s="6" t="n"/>
      <c r="E35" s="19">
        <f>com!A31</f>
        <v/>
      </c>
      <c r="F35" s="19">
        <f>com!A72</f>
        <v/>
      </c>
      <c r="G35" s="19">
        <f>com!A113</f>
        <v/>
      </c>
      <c r="H35" s="19">
        <f>com!A154</f>
        <v/>
      </c>
      <c r="I35" s="19">
        <f>com!A195</f>
        <v/>
      </c>
      <c r="J35" s="19">
        <f>com!A236</f>
        <v/>
      </c>
      <c r="K35" s="19">
        <f>com!A277</f>
        <v/>
      </c>
      <c r="L35" s="19">
        <f>com!A318</f>
        <v/>
      </c>
      <c r="M35" s="19">
        <f>com!A359</f>
        <v/>
      </c>
      <c r="N35" s="19">
        <f>com!A400</f>
        <v/>
      </c>
      <c r="O35" s="19">
        <f>com!A441</f>
        <v/>
      </c>
      <c r="P35" s="19">
        <f>com!A482</f>
        <v/>
      </c>
      <c r="Q35" s="19">
        <f>com!A523</f>
        <v/>
      </c>
      <c r="R35" s="19">
        <f>com!A564</f>
        <v/>
      </c>
      <c r="S35" s="19">
        <f>com!A605</f>
        <v/>
      </c>
      <c r="T35" s="19">
        <f>com!A646</f>
        <v/>
      </c>
      <c r="U35" s="19">
        <f>com!A687</f>
        <v/>
      </c>
      <c r="V35" s="19">
        <f>com!A728</f>
        <v/>
      </c>
      <c r="W35" s="19">
        <f>com!A769</f>
        <v/>
      </c>
      <c r="X35" s="19">
        <f>com!A810</f>
        <v/>
      </c>
      <c r="Y35" s="19">
        <f>com!A851</f>
        <v/>
      </c>
      <c r="Z35" s="19">
        <f>com!A892</f>
        <v/>
      </c>
      <c r="AA35" s="19">
        <f>com!A933</f>
        <v/>
      </c>
      <c r="AB35" s="19">
        <f>com!A974</f>
        <v/>
      </c>
      <c r="AC35" s="19">
        <f>com!A1015</f>
        <v/>
      </c>
      <c r="AD35" s="19">
        <f>com!A1056</f>
        <v/>
      </c>
      <c r="AE35" s="19">
        <f>com!A1097</f>
        <v/>
      </c>
      <c r="AF35" s="19">
        <f>com!A1138</f>
        <v/>
      </c>
      <c r="AG35" s="19">
        <f>com!A1179</f>
        <v/>
      </c>
      <c r="AH35" s="19">
        <f>com!A1220</f>
        <v/>
      </c>
      <c r="AI35" s="19">
        <f>com!A1261</f>
        <v/>
      </c>
      <c r="AJ35" s="19">
        <f>com!A1302</f>
        <v/>
      </c>
    </row>
    <row r="36">
      <c r="B36" s="6" t="inlineStr">
        <is>
          <t>BIT FAULT MATRIX, MSB of 2nd word</t>
        </is>
      </c>
      <c r="C36" s="6" t="n"/>
      <c r="D36" s="6" t="n"/>
      <c r="E36" s="19">
        <f>com!A32</f>
        <v/>
      </c>
      <c r="F36" s="19">
        <f>com!A73</f>
        <v/>
      </c>
      <c r="G36" s="19">
        <f>com!A114</f>
        <v/>
      </c>
      <c r="H36" s="19">
        <f>com!A155</f>
        <v/>
      </c>
      <c r="I36" s="19">
        <f>com!A196</f>
        <v/>
      </c>
      <c r="J36" s="19">
        <f>com!A237</f>
        <v/>
      </c>
      <c r="K36" s="19">
        <f>com!A278</f>
        <v/>
      </c>
      <c r="L36" s="19">
        <f>com!A319</f>
        <v/>
      </c>
      <c r="M36" s="19">
        <f>com!A360</f>
        <v/>
      </c>
      <c r="N36" s="19">
        <f>com!A401</f>
        <v/>
      </c>
      <c r="O36" s="19">
        <f>com!A442</f>
        <v/>
      </c>
      <c r="P36" s="19">
        <f>com!A483</f>
        <v/>
      </c>
      <c r="Q36" s="19">
        <f>com!A524</f>
        <v/>
      </c>
      <c r="R36" s="19">
        <f>com!A565</f>
        <v/>
      </c>
      <c r="S36" s="19">
        <f>com!A606</f>
        <v/>
      </c>
      <c r="T36" s="19">
        <f>com!A647</f>
        <v/>
      </c>
      <c r="U36" s="19">
        <f>com!A688</f>
        <v/>
      </c>
      <c r="V36" s="19">
        <f>com!A729</f>
        <v/>
      </c>
      <c r="W36" s="19">
        <f>com!A770</f>
        <v/>
      </c>
      <c r="X36" s="19">
        <f>com!A811</f>
        <v/>
      </c>
      <c r="Y36" s="19">
        <f>com!A852</f>
        <v/>
      </c>
      <c r="Z36" s="19">
        <f>com!A893</f>
        <v/>
      </c>
      <c r="AA36" s="19">
        <f>com!A934</f>
        <v/>
      </c>
      <c r="AB36" s="19">
        <f>com!A975</f>
        <v/>
      </c>
      <c r="AC36" s="19">
        <f>com!A1016</f>
        <v/>
      </c>
      <c r="AD36" s="19">
        <f>com!A1057</f>
        <v/>
      </c>
      <c r="AE36" s="19">
        <f>com!A1098</f>
        <v/>
      </c>
      <c r="AF36" s="19">
        <f>com!A1139</f>
        <v/>
      </c>
      <c r="AG36" s="19">
        <f>com!A1180</f>
        <v/>
      </c>
      <c r="AH36" s="19">
        <f>com!A1221</f>
        <v/>
      </c>
      <c r="AI36" s="19">
        <f>com!A1262</f>
        <v/>
      </c>
      <c r="AJ36" s="19">
        <f>com!A1303</f>
        <v/>
      </c>
    </row>
    <row r="37">
      <c r="B37" s="6" t="inlineStr">
        <is>
          <t>BIT FAULT MATRIX, LSB of 3rd word</t>
        </is>
      </c>
      <c r="C37" s="6" t="n"/>
      <c r="D37" s="6" t="n"/>
      <c r="E37" s="19">
        <f>com!A33</f>
        <v/>
      </c>
      <c r="F37" s="19">
        <f>com!A74</f>
        <v/>
      </c>
      <c r="G37" s="19">
        <f>com!A115</f>
        <v/>
      </c>
      <c r="H37" s="19">
        <f>com!A156</f>
        <v/>
      </c>
      <c r="I37" s="19">
        <f>com!A197</f>
        <v/>
      </c>
      <c r="J37" s="19">
        <f>com!A238</f>
        <v/>
      </c>
      <c r="K37" s="19">
        <f>com!A279</f>
        <v/>
      </c>
      <c r="L37" s="19">
        <f>com!A320</f>
        <v/>
      </c>
      <c r="M37" s="19">
        <f>com!A361</f>
        <v/>
      </c>
      <c r="N37" s="19">
        <f>com!A402</f>
        <v/>
      </c>
      <c r="O37" s="19">
        <f>com!A443</f>
        <v/>
      </c>
      <c r="P37" s="19">
        <f>com!A484</f>
        <v/>
      </c>
      <c r="Q37" s="19">
        <f>com!A525</f>
        <v/>
      </c>
      <c r="R37" s="19">
        <f>com!A566</f>
        <v/>
      </c>
      <c r="S37" s="19">
        <f>com!A607</f>
        <v/>
      </c>
      <c r="T37" s="19">
        <f>com!A648</f>
        <v/>
      </c>
      <c r="U37" s="19">
        <f>com!A689</f>
        <v/>
      </c>
      <c r="V37" s="19">
        <f>com!A730</f>
        <v/>
      </c>
      <c r="W37" s="19">
        <f>com!A771</f>
        <v/>
      </c>
      <c r="X37" s="19">
        <f>com!A812</f>
        <v/>
      </c>
      <c r="Y37" s="19">
        <f>com!A853</f>
        <v/>
      </c>
      <c r="Z37" s="19">
        <f>com!A894</f>
        <v/>
      </c>
      <c r="AA37" s="19">
        <f>com!A935</f>
        <v/>
      </c>
      <c r="AB37" s="19">
        <f>com!A976</f>
        <v/>
      </c>
      <c r="AC37" s="19">
        <f>com!A1017</f>
        <v/>
      </c>
      <c r="AD37" s="19">
        <f>com!A1058</f>
        <v/>
      </c>
      <c r="AE37" s="19">
        <f>com!A1099</f>
        <v/>
      </c>
      <c r="AF37" s="19">
        <f>com!A1140</f>
        <v/>
      </c>
      <c r="AG37" s="19">
        <f>com!A1181</f>
        <v/>
      </c>
      <c r="AH37" s="19">
        <f>com!A1222</f>
        <v/>
      </c>
      <c r="AI37" s="19">
        <f>com!A1263</f>
        <v/>
      </c>
      <c r="AJ37" s="19">
        <f>com!A1304</f>
        <v/>
      </c>
    </row>
    <row r="38">
      <c r="B38" s="6" t="inlineStr">
        <is>
          <t>BIT FAULT MATRIX, MSB of 3rd word</t>
        </is>
      </c>
      <c r="C38" s="6" t="n"/>
      <c r="D38" s="6" t="n"/>
      <c r="E38" s="19">
        <f>com!A34</f>
        <v/>
      </c>
      <c r="F38" s="19">
        <f>com!A75</f>
        <v/>
      </c>
      <c r="G38" s="19">
        <f>com!A116</f>
        <v/>
      </c>
      <c r="H38" s="19">
        <f>com!A157</f>
        <v/>
      </c>
      <c r="I38" s="19">
        <f>com!A198</f>
        <v/>
      </c>
      <c r="J38" s="19">
        <f>com!A239</f>
        <v/>
      </c>
      <c r="K38" s="19">
        <f>com!A280</f>
        <v/>
      </c>
      <c r="L38" s="19">
        <f>com!A321</f>
        <v/>
      </c>
      <c r="M38" s="19">
        <f>com!A362</f>
        <v/>
      </c>
      <c r="N38" s="19">
        <f>com!A403</f>
        <v/>
      </c>
      <c r="O38" s="19">
        <f>com!A444</f>
        <v/>
      </c>
      <c r="P38" s="19">
        <f>com!A485</f>
        <v/>
      </c>
      <c r="Q38" s="19">
        <f>com!A526</f>
        <v/>
      </c>
      <c r="R38" s="19">
        <f>com!A567</f>
        <v/>
      </c>
      <c r="S38" s="19">
        <f>com!A608</f>
        <v/>
      </c>
      <c r="T38" s="19">
        <f>com!A649</f>
        <v/>
      </c>
      <c r="U38" s="19">
        <f>com!A690</f>
        <v/>
      </c>
      <c r="V38" s="19">
        <f>com!A731</f>
        <v/>
      </c>
      <c r="W38" s="19">
        <f>com!A772</f>
        <v/>
      </c>
      <c r="X38" s="19">
        <f>com!A813</f>
        <v/>
      </c>
      <c r="Y38" s="19">
        <f>com!A854</f>
        <v/>
      </c>
      <c r="Z38" s="19">
        <f>com!A895</f>
        <v/>
      </c>
      <c r="AA38" s="19">
        <f>com!A936</f>
        <v/>
      </c>
      <c r="AB38" s="19">
        <f>com!A977</f>
        <v/>
      </c>
      <c r="AC38" s="19">
        <f>com!A1018</f>
        <v/>
      </c>
      <c r="AD38" s="19">
        <f>com!A1059</f>
        <v/>
      </c>
      <c r="AE38" s="19">
        <f>com!A1100</f>
        <v/>
      </c>
      <c r="AF38" s="19">
        <f>com!A1141</f>
        <v/>
      </c>
      <c r="AG38" s="19">
        <f>com!A1182</f>
        <v/>
      </c>
      <c r="AH38" s="19">
        <f>com!A1223</f>
        <v/>
      </c>
      <c r="AI38" s="19">
        <f>com!A1264</f>
        <v/>
      </c>
      <c r="AJ38" s="19">
        <f>com!A1305</f>
        <v/>
      </c>
    </row>
    <row r="39">
      <c r="B39" s="6" t="inlineStr">
        <is>
          <t>BIT FAULT MATRIX, LSB of 4th word</t>
        </is>
      </c>
      <c r="C39" s="6" t="n"/>
      <c r="D39" s="6" t="n"/>
      <c r="E39" s="19">
        <f>com!A35</f>
        <v/>
      </c>
      <c r="F39" s="19">
        <f>com!A76</f>
        <v/>
      </c>
      <c r="G39" s="19">
        <f>com!A117</f>
        <v/>
      </c>
      <c r="H39" s="19">
        <f>com!A158</f>
        <v/>
      </c>
      <c r="I39" s="19">
        <f>com!A199</f>
        <v/>
      </c>
      <c r="J39" s="19">
        <f>com!A240</f>
        <v/>
      </c>
      <c r="K39" s="19">
        <f>com!A281</f>
        <v/>
      </c>
      <c r="L39" s="19">
        <f>com!A322</f>
        <v/>
      </c>
      <c r="M39" s="19">
        <f>com!A363</f>
        <v/>
      </c>
      <c r="N39" s="19">
        <f>com!A404</f>
        <v/>
      </c>
      <c r="O39" s="19">
        <f>com!A445</f>
        <v/>
      </c>
      <c r="P39" s="19">
        <f>com!A486</f>
        <v/>
      </c>
      <c r="Q39" s="19">
        <f>com!A527</f>
        <v/>
      </c>
      <c r="R39" s="19">
        <f>com!A568</f>
        <v/>
      </c>
      <c r="S39" s="19">
        <f>com!A609</f>
        <v/>
      </c>
      <c r="T39" s="19">
        <f>com!A650</f>
        <v/>
      </c>
      <c r="U39" s="19">
        <f>com!A691</f>
        <v/>
      </c>
      <c r="V39" s="19">
        <f>com!A732</f>
        <v/>
      </c>
      <c r="W39" s="19">
        <f>com!A773</f>
        <v/>
      </c>
      <c r="X39" s="19">
        <f>com!A814</f>
        <v/>
      </c>
      <c r="Y39" s="19">
        <f>com!A855</f>
        <v/>
      </c>
      <c r="Z39" s="19">
        <f>com!A896</f>
        <v/>
      </c>
      <c r="AA39" s="19">
        <f>com!A937</f>
        <v/>
      </c>
      <c r="AB39" s="19">
        <f>com!A978</f>
        <v/>
      </c>
      <c r="AC39" s="19">
        <f>com!A1019</f>
        <v/>
      </c>
      <c r="AD39" s="19">
        <f>com!A1060</f>
        <v/>
      </c>
      <c r="AE39" s="19">
        <f>com!A1101</f>
        <v/>
      </c>
      <c r="AF39" s="19">
        <f>com!A1142</f>
        <v/>
      </c>
      <c r="AG39" s="19">
        <f>com!A1183</f>
        <v/>
      </c>
      <c r="AH39" s="19">
        <f>com!A1224</f>
        <v/>
      </c>
      <c r="AI39" s="19">
        <f>com!A1265</f>
        <v/>
      </c>
      <c r="AJ39" s="19">
        <f>com!A1306</f>
        <v/>
      </c>
    </row>
    <row r="40">
      <c r="B40" s="6" t="inlineStr">
        <is>
          <t>BIT FAULT MATRIX, MSB of 4th word</t>
        </is>
      </c>
      <c r="C40" s="6" t="n"/>
      <c r="D40" s="6" t="n"/>
      <c r="E40" s="19">
        <f>com!A36</f>
        <v/>
      </c>
      <c r="F40" s="19">
        <f>com!A77</f>
        <v/>
      </c>
      <c r="G40" s="19">
        <f>com!A118</f>
        <v/>
      </c>
      <c r="H40" s="19">
        <f>com!A159</f>
        <v/>
      </c>
      <c r="I40" s="19">
        <f>com!A200</f>
        <v/>
      </c>
      <c r="J40" s="19">
        <f>com!A241</f>
        <v/>
      </c>
      <c r="K40" s="19">
        <f>com!A282</f>
        <v/>
      </c>
      <c r="L40" s="19">
        <f>com!A323</f>
        <v/>
      </c>
      <c r="M40" s="19">
        <f>com!A364</f>
        <v/>
      </c>
      <c r="N40" s="19">
        <f>com!A405</f>
        <v/>
      </c>
      <c r="O40" s="19">
        <f>com!A446</f>
        <v/>
      </c>
      <c r="P40" s="19">
        <f>com!A487</f>
        <v/>
      </c>
      <c r="Q40" s="19">
        <f>com!A528</f>
        <v/>
      </c>
      <c r="R40" s="19">
        <f>com!A569</f>
        <v/>
      </c>
      <c r="S40" s="19">
        <f>com!A610</f>
        <v/>
      </c>
      <c r="T40" s="19">
        <f>com!A651</f>
        <v/>
      </c>
      <c r="U40" s="19">
        <f>com!A692</f>
        <v/>
      </c>
      <c r="V40" s="19">
        <f>com!A733</f>
        <v/>
      </c>
      <c r="W40" s="19">
        <f>com!A774</f>
        <v/>
      </c>
      <c r="X40" s="19">
        <f>com!A815</f>
        <v/>
      </c>
      <c r="Y40" s="19">
        <f>com!A856</f>
        <v/>
      </c>
      <c r="Z40" s="19">
        <f>com!A897</f>
        <v/>
      </c>
      <c r="AA40" s="19">
        <f>com!A938</f>
        <v/>
      </c>
      <c r="AB40" s="19">
        <f>com!A979</f>
        <v/>
      </c>
      <c r="AC40" s="19">
        <f>com!A1020</f>
        <v/>
      </c>
      <c r="AD40" s="19">
        <f>com!A1061</f>
        <v/>
      </c>
      <c r="AE40" s="19">
        <f>com!A1102</f>
        <v/>
      </c>
      <c r="AF40" s="19">
        <f>com!A1143</f>
        <v/>
      </c>
      <c r="AG40" s="19">
        <f>com!A1184</f>
        <v/>
      </c>
      <c r="AH40" s="19">
        <f>com!A1225</f>
        <v/>
      </c>
      <c r="AI40" s="19">
        <f>com!A1266</f>
        <v/>
      </c>
      <c r="AJ40" s="19">
        <f>com!A1307</f>
        <v/>
      </c>
    </row>
    <row r="41">
      <c r="B41" s="6" t="inlineStr">
        <is>
          <t>BIT FAULT MATRIX, LSB of 5th word</t>
        </is>
      </c>
      <c r="C41" s="6" t="n"/>
      <c r="D41" s="6" t="n"/>
      <c r="E41" s="19">
        <f>com!A37</f>
        <v/>
      </c>
      <c r="F41" s="19">
        <f>com!A78</f>
        <v/>
      </c>
      <c r="G41" s="19">
        <f>com!A119</f>
        <v/>
      </c>
      <c r="H41" s="19">
        <f>com!A160</f>
        <v/>
      </c>
      <c r="I41" s="19">
        <f>com!A201</f>
        <v/>
      </c>
      <c r="J41" s="19">
        <f>com!A242</f>
        <v/>
      </c>
      <c r="K41" s="19">
        <f>com!A283</f>
        <v/>
      </c>
      <c r="L41" s="19">
        <f>com!A324</f>
        <v/>
      </c>
      <c r="M41" s="19">
        <f>com!A365</f>
        <v/>
      </c>
      <c r="N41" s="19">
        <f>com!A406</f>
        <v/>
      </c>
      <c r="O41" s="19">
        <f>com!A447</f>
        <v/>
      </c>
      <c r="P41" s="19">
        <f>com!A488</f>
        <v/>
      </c>
      <c r="Q41" s="19">
        <f>com!A529</f>
        <v/>
      </c>
      <c r="R41" s="19">
        <f>com!A570</f>
        <v/>
      </c>
      <c r="S41" s="19">
        <f>com!A611</f>
        <v/>
      </c>
      <c r="T41" s="19">
        <f>com!A652</f>
        <v/>
      </c>
      <c r="U41" s="19">
        <f>com!A693</f>
        <v/>
      </c>
      <c r="V41" s="19">
        <f>com!A734</f>
        <v/>
      </c>
      <c r="W41" s="19">
        <f>com!A775</f>
        <v/>
      </c>
      <c r="X41" s="19">
        <f>com!A816</f>
        <v/>
      </c>
      <c r="Y41" s="19">
        <f>com!A857</f>
        <v/>
      </c>
      <c r="Z41" s="19">
        <f>com!A898</f>
        <v/>
      </c>
      <c r="AA41" s="19">
        <f>com!A939</f>
        <v/>
      </c>
      <c r="AB41" s="19">
        <f>com!A980</f>
        <v/>
      </c>
      <c r="AC41" s="19">
        <f>com!A1021</f>
        <v/>
      </c>
      <c r="AD41" s="19">
        <f>com!A1062</f>
        <v/>
      </c>
      <c r="AE41" s="19">
        <f>com!A1103</f>
        <v/>
      </c>
      <c r="AF41" s="19">
        <f>com!A1144</f>
        <v/>
      </c>
      <c r="AG41" s="19">
        <f>com!A1185</f>
        <v/>
      </c>
      <c r="AH41" s="19">
        <f>com!A1226</f>
        <v/>
      </c>
      <c r="AI41" s="19">
        <f>com!A1267</f>
        <v/>
      </c>
      <c r="AJ41" s="19">
        <f>com!A1308</f>
        <v/>
      </c>
    </row>
    <row r="42">
      <c r="B42" s="6" t="inlineStr">
        <is>
          <t>BIT FAULT MATRIX, MSB of 5th word</t>
        </is>
      </c>
      <c r="C42" s="6" t="n"/>
      <c r="D42" s="6" t="n"/>
      <c r="E42" s="19">
        <f>com!A38</f>
        <v/>
      </c>
      <c r="F42" s="19">
        <f>com!A79</f>
        <v/>
      </c>
      <c r="G42" s="19">
        <f>com!A120</f>
        <v/>
      </c>
      <c r="H42" s="19">
        <f>com!A161</f>
        <v/>
      </c>
      <c r="I42" s="19">
        <f>com!A202</f>
        <v/>
      </c>
      <c r="J42" s="19">
        <f>com!A243</f>
        <v/>
      </c>
      <c r="K42" s="19">
        <f>com!A284</f>
        <v/>
      </c>
      <c r="L42" s="19">
        <f>com!A325</f>
        <v/>
      </c>
      <c r="M42" s="19">
        <f>com!A366</f>
        <v/>
      </c>
      <c r="N42" s="19">
        <f>com!A407</f>
        <v/>
      </c>
      <c r="O42" s="19">
        <f>com!A448</f>
        <v/>
      </c>
      <c r="P42" s="19">
        <f>com!A489</f>
        <v/>
      </c>
      <c r="Q42" s="19">
        <f>com!A530</f>
        <v/>
      </c>
      <c r="R42" s="19">
        <f>com!A571</f>
        <v/>
      </c>
      <c r="S42" s="19">
        <f>com!A612</f>
        <v/>
      </c>
      <c r="T42" s="19">
        <f>com!A653</f>
        <v/>
      </c>
      <c r="U42" s="19">
        <f>com!A694</f>
        <v/>
      </c>
      <c r="V42" s="19">
        <f>com!A735</f>
        <v/>
      </c>
      <c r="W42" s="19">
        <f>com!A776</f>
        <v/>
      </c>
      <c r="X42" s="19">
        <f>com!A817</f>
        <v/>
      </c>
      <c r="Y42" s="19">
        <f>com!A858</f>
        <v/>
      </c>
      <c r="Z42" s="19">
        <f>com!A899</f>
        <v/>
      </c>
      <c r="AA42" s="19">
        <f>com!A940</f>
        <v/>
      </c>
      <c r="AB42" s="19">
        <f>com!A981</f>
        <v/>
      </c>
      <c r="AC42" s="19">
        <f>com!A1022</f>
        <v/>
      </c>
      <c r="AD42" s="19">
        <f>com!A1063</f>
        <v/>
      </c>
      <c r="AE42" s="19">
        <f>com!A1104</f>
        <v/>
      </c>
      <c r="AF42" s="19">
        <f>com!A1145</f>
        <v/>
      </c>
      <c r="AG42" s="19">
        <f>com!A1186</f>
        <v/>
      </c>
      <c r="AH42" s="19">
        <f>com!A1227</f>
        <v/>
      </c>
      <c r="AI42" s="19">
        <f>com!A1268</f>
        <v/>
      </c>
      <c r="AJ42" s="19">
        <f>com!A1309</f>
        <v/>
      </c>
    </row>
    <row r="43">
      <c r="B43" s="6" t="inlineStr">
        <is>
          <t>BIT FAULT MATRIX, LSB of 6th word</t>
        </is>
      </c>
      <c r="C43" s="6" t="n"/>
      <c r="D43" s="6" t="n"/>
      <c r="E43" s="19">
        <f>com!A39</f>
        <v/>
      </c>
      <c r="F43" s="19">
        <f>com!A80</f>
        <v/>
      </c>
      <c r="G43" s="19">
        <f>com!A121</f>
        <v/>
      </c>
      <c r="H43" s="19">
        <f>com!A162</f>
        <v/>
      </c>
      <c r="I43" s="19">
        <f>com!A203</f>
        <v/>
      </c>
      <c r="J43" s="19">
        <f>com!A244</f>
        <v/>
      </c>
      <c r="K43" s="19">
        <f>com!A285</f>
        <v/>
      </c>
      <c r="L43" s="19">
        <f>com!A326</f>
        <v/>
      </c>
      <c r="M43" s="19">
        <f>com!A367</f>
        <v/>
      </c>
      <c r="N43" s="19">
        <f>com!A408</f>
        <v/>
      </c>
      <c r="O43" s="19">
        <f>com!A449</f>
        <v/>
      </c>
      <c r="P43" s="19">
        <f>com!A490</f>
        <v/>
      </c>
      <c r="Q43" s="19">
        <f>com!A531</f>
        <v/>
      </c>
      <c r="R43" s="19">
        <f>com!A572</f>
        <v/>
      </c>
      <c r="S43" s="19">
        <f>com!A613</f>
        <v/>
      </c>
      <c r="T43" s="19">
        <f>com!A654</f>
        <v/>
      </c>
      <c r="U43" s="19">
        <f>com!A695</f>
        <v/>
      </c>
      <c r="V43" s="19">
        <f>com!A736</f>
        <v/>
      </c>
      <c r="W43" s="19">
        <f>com!A777</f>
        <v/>
      </c>
      <c r="X43" s="19">
        <f>com!A818</f>
        <v/>
      </c>
      <c r="Y43" s="19">
        <f>com!A859</f>
        <v/>
      </c>
      <c r="Z43" s="19">
        <f>com!A900</f>
        <v/>
      </c>
      <c r="AA43" s="19">
        <f>com!A941</f>
        <v/>
      </c>
      <c r="AB43" s="19">
        <f>com!A982</f>
        <v/>
      </c>
      <c r="AC43" s="19">
        <f>com!A1023</f>
        <v/>
      </c>
      <c r="AD43" s="19">
        <f>com!A1064</f>
        <v/>
      </c>
      <c r="AE43" s="19">
        <f>com!A1105</f>
        <v/>
      </c>
      <c r="AF43" s="19">
        <f>com!A1146</f>
        <v/>
      </c>
      <c r="AG43" s="19">
        <f>com!A1187</f>
        <v/>
      </c>
      <c r="AH43" s="19">
        <f>com!A1228</f>
        <v/>
      </c>
      <c r="AI43" s="19">
        <f>com!A1269</f>
        <v/>
      </c>
      <c r="AJ43" s="19">
        <f>com!A1310</f>
        <v/>
      </c>
    </row>
    <row r="44">
      <c r="B44" s="6" t="inlineStr">
        <is>
          <t>BIT FAULT MATRIX, MSB of 6th word</t>
        </is>
      </c>
      <c r="C44" s="6" t="n"/>
      <c r="D44" s="6" t="n"/>
      <c r="E44" s="19">
        <f>com!A40</f>
        <v/>
      </c>
      <c r="F44" s="19">
        <f>com!A81</f>
        <v/>
      </c>
      <c r="G44" s="19">
        <f>com!A122</f>
        <v/>
      </c>
      <c r="H44" s="19">
        <f>com!A163</f>
        <v/>
      </c>
      <c r="I44" s="19">
        <f>com!A204</f>
        <v/>
      </c>
      <c r="J44" s="19">
        <f>com!A245</f>
        <v/>
      </c>
      <c r="K44" s="19">
        <f>com!A286</f>
        <v/>
      </c>
      <c r="L44" s="19">
        <f>com!A327</f>
        <v/>
      </c>
      <c r="M44" s="19">
        <f>com!A368</f>
        <v/>
      </c>
      <c r="N44" s="19">
        <f>com!A409</f>
        <v/>
      </c>
      <c r="O44" s="19">
        <f>com!A450</f>
        <v/>
      </c>
      <c r="P44" s="19">
        <f>com!A491</f>
        <v/>
      </c>
      <c r="Q44" s="19">
        <f>com!A532</f>
        <v/>
      </c>
      <c r="R44" s="19">
        <f>com!A573</f>
        <v/>
      </c>
      <c r="S44" s="19">
        <f>com!A614</f>
        <v/>
      </c>
      <c r="T44" s="19">
        <f>com!A655</f>
        <v/>
      </c>
      <c r="U44" s="19">
        <f>com!A696</f>
        <v/>
      </c>
      <c r="V44" s="19">
        <f>com!A737</f>
        <v/>
      </c>
      <c r="W44" s="19">
        <f>com!A778</f>
        <v/>
      </c>
      <c r="X44" s="19">
        <f>com!A819</f>
        <v/>
      </c>
      <c r="Y44" s="19">
        <f>com!A860</f>
        <v/>
      </c>
      <c r="Z44" s="19">
        <f>com!A901</f>
        <v/>
      </c>
      <c r="AA44" s="19">
        <f>com!A942</f>
        <v/>
      </c>
      <c r="AB44" s="19">
        <f>com!A983</f>
        <v/>
      </c>
      <c r="AC44" s="19">
        <f>com!A1024</f>
        <v/>
      </c>
      <c r="AD44" s="19">
        <f>com!A1065</f>
        <v/>
      </c>
      <c r="AE44" s="19">
        <f>com!A1106</f>
        <v/>
      </c>
      <c r="AF44" s="19">
        <f>com!A1147</f>
        <v/>
      </c>
      <c r="AG44" s="19">
        <f>com!A1188</f>
        <v/>
      </c>
      <c r="AH44" s="19">
        <f>com!A1229</f>
        <v/>
      </c>
      <c r="AI44" s="19">
        <f>com!A1270</f>
        <v/>
      </c>
      <c r="AJ44" s="19">
        <f>com!A1311</f>
        <v/>
      </c>
    </row>
    <row r="45">
      <c r="B45" s="19" t="inlineStr">
        <is>
          <t>FAILURE CLASS</t>
        </is>
      </c>
      <c r="C45" s="19" t="n"/>
      <c r="D45" s="19" t="n"/>
      <c r="E45" s="19">
        <f>com!A41</f>
        <v/>
      </c>
      <c r="F45" s="19">
        <f>com!A82</f>
        <v/>
      </c>
      <c r="G45" s="19">
        <f>com!A123</f>
        <v/>
      </c>
      <c r="H45" s="19">
        <f>com!A164</f>
        <v/>
      </c>
      <c r="I45" s="19">
        <f>com!A205</f>
        <v/>
      </c>
      <c r="J45" s="19">
        <f>com!A246</f>
        <v/>
      </c>
      <c r="K45" s="19">
        <f>com!A287</f>
        <v/>
      </c>
      <c r="L45" s="19">
        <f>com!A328</f>
        <v/>
      </c>
      <c r="M45" s="19">
        <f>com!A369</f>
        <v/>
      </c>
      <c r="N45" s="19">
        <f>com!A410</f>
        <v/>
      </c>
      <c r="O45" s="19">
        <f>com!A451</f>
        <v/>
      </c>
      <c r="P45" s="19">
        <f>com!A492</f>
        <v/>
      </c>
      <c r="Q45" s="19">
        <f>com!A533</f>
        <v/>
      </c>
      <c r="R45" s="19">
        <f>com!A574</f>
        <v/>
      </c>
      <c r="S45" s="19">
        <f>com!A615</f>
        <v/>
      </c>
      <c r="T45" s="19">
        <f>com!A656</f>
        <v/>
      </c>
      <c r="U45" s="19">
        <f>com!A697</f>
        <v/>
      </c>
      <c r="V45" s="19">
        <f>com!A738</f>
        <v/>
      </c>
      <c r="W45" s="19">
        <f>com!A779</f>
        <v/>
      </c>
      <c r="X45" s="19">
        <f>com!A820</f>
        <v/>
      </c>
      <c r="Y45" s="19">
        <f>com!A861</f>
        <v/>
      </c>
      <c r="Z45" s="19">
        <f>com!A902</f>
        <v/>
      </c>
      <c r="AA45" s="19">
        <f>com!A943</f>
        <v/>
      </c>
      <c r="AB45" s="19">
        <f>com!A984</f>
        <v/>
      </c>
      <c r="AC45" s="19">
        <f>com!A1025</f>
        <v/>
      </c>
      <c r="AD45" s="19">
        <f>com!A1066</f>
        <v/>
      </c>
      <c r="AE45" s="19">
        <f>com!A1107</f>
        <v/>
      </c>
      <c r="AF45" s="19">
        <f>com!A1148</f>
        <v/>
      </c>
      <c r="AG45" s="19">
        <f>com!A1189</f>
        <v/>
      </c>
      <c r="AH45" s="19">
        <f>com!A1230</f>
        <v/>
      </c>
      <c r="AI45" s="19">
        <f>com!A1271</f>
        <v/>
      </c>
      <c r="AJ45" s="19">
        <f>com!A1312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44"/>
  <sheetViews>
    <sheetView workbookViewId="0">
      <selection activeCell="A1" sqref="A1"/>
    </sheetView>
  </sheetViews>
  <sheetFormatPr baseColWidth="8" defaultRowHeight="15"/>
  <sheetData>
    <row r="1">
      <c r="A1" s="134" t="inlineStr">
        <is>
          <t>34</t>
        </is>
      </c>
    </row>
    <row r="2">
      <c r="A2" t="inlineStr">
        <is>
          <t>00</t>
        </is>
      </c>
    </row>
    <row r="3">
      <c r="A3" t="inlineStr">
        <is>
          <t>00</t>
        </is>
      </c>
    </row>
    <row r="4">
      <c r="A4" t="inlineStr">
        <is>
          <t>00</t>
        </is>
      </c>
    </row>
    <row r="5">
      <c r="A5" t="inlineStr">
        <is>
          <t>04</t>
        </is>
      </c>
    </row>
    <row r="6">
      <c r="A6" t="inlineStr">
        <is>
          <t>00</t>
        </is>
      </c>
    </row>
    <row r="7">
      <c r="A7" t="inlineStr">
        <is>
          <t>4E</t>
        </is>
      </c>
    </row>
    <row r="8">
      <c r="A8" t="inlineStr">
        <is>
          <t>4F</t>
        </is>
      </c>
    </row>
    <row r="9">
      <c r="A9" t="inlineStr">
        <is>
          <t>52</t>
        </is>
      </c>
    </row>
    <row r="10">
      <c r="A10" t="inlineStr">
        <is>
          <t>44</t>
        </is>
      </c>
    </row>
    <row r="11">
      <c r="A11" t="inlineStr">
        <is>
          <t>4D</t>
        </is>
      </c>
    </row>
    <row r="12">
      <c r="A12" t="inlineStr">
        <is>
          <t>49</t>
        </is>
      </c>
    </row>
    <row r="13">
      <c r="A13" t="inlineStr">
        <is>
          <t>43</t>
        </is>
      </c>
    </row>
    <row r="14">
      <c r="A14" t="inlineStr">
        <is>
          <t>00</t>
        </is>
      </c>
    </row>
    <row r="15">
      <c r="A15" t="inlineStr">
        <is>
          <t>00</t>
        </is>
      </c>
    </row>
    <row r="16">
      <c r="A16" t="inlineStr">
        <is>
          <t>00</t>
        </is>
      </c>
    </row>
    <row r="17">
      <c r="A17" t="inlineStr">
        <is>
          <t>00</t>
        </is>
      </c>
    </row>
    <row r="18">
      <c r="A18" t="inlineStr">
        <is>
          <t>00</t>
        </is>
      </c>
    </row>
    <row r="19">
      <c r="A19" t="inlineStr">
        <is>
          <t>00</t>
        </is>
      </c>
    </row>
    <row r="20">
      <c r="A20" t="inlineStr">
        <is>
          <t>00</t>
        </is>
      </c>
    </row>
    <row r="21">
      <c r="A21" t="inlineStr">
        <is>
          <t>00</t>
        </is>
      </c>
    </row>
    <row r="22">
      <c r="A22" t="inlineStr">
        <is>
          <t>00</t>
        </is>
      </c>
    </row>
    <row r="23">
      <c r="A23" t="inlineStr">
        <is>
          <t>00</t>
        </is>
      </c>
    </row>
    <row r="24">
      <c r="A24" t="inlineStr">
        <is>
          <t>00</t>
        </is>
      </c>
    </row>
    <row r="25">
      <c r="A25" t="inlineStr">
        <is>
          <t>00</t>
        </is>
      </c>
    </row>
    <row r="26">
      <c r="A26" t="inlineStr">
        <is>
          <t>00</t>
        </is>
      </c>
    </row>
    <row r="27">
      <c r="A27" t="inlineStr">
        <is>
          <t>00</t>
        </is>
      </c>
    </row>
    <row r="28">
      <c r="A28" t="inlineStr">
        <is>
          <t>01</t>
        </is>
      </c>
    </row>
    <row r="29">
      <c r="A29" t="inlineStr">
        <is>
          <t>00</t>
        </is>
      </c>
    </row>
    <row r="30">
      <c r="A30" t="inlineStr">
        <is>
          <t>00</t>
        </is>
      </c>
    </row>
    <row r="31">
      <c r="A31" t="inlineStr">
        <is>
          <t>80</t>
        </is>
      </c>
    </row>
    <row r="32">
      <c r="A32" t="inlineStr">
        <is>
          <t>00</t>
        </is>
      </c>
    </row>
    <row r="33">
      <c r="A33" t="inlineStr">
        <is>
          <t>01</t>
        </is>
      </c>
    </row>
    <row r="34">
      <c r="A34" t="inlineStr">
        <is>
          <t>10</t>
        </is>
      </c>
    </row>
    <row r="35">
      <c r="A35" t="inlineStr">
        <is>
          <t>10</t>
        </is>
      </c>
    </row>
    <row r="36">
      <c r="A36" t="inlineStr">
        <is>
          <t>00</t>
        </is>
      </c>
    </row>
    <row r="37">
      <c r="A37" t="inlineStr">
        <is>
          <t>00</t>
        </is>
      </c>
    </row>
    <row r="38">
      <c r="A38" t="inlineStr">
        <is>
          <t>00</t>
        </is>
      </c>
    </row>
    <row r="39">
      <c r="A39" t="inlineStr">
        <is>
          <t>00</t>
        </is>
      </c>
    </row>
    <row r="40">
      <c r="A40" t="inlineStr">
        <is>
          <t>00</t>
        </is>
      </c>
    </row>
    <row r="41">
      <c r="A41" t="inlineStr">
        <is>
          <t>01</t>
        </is>
      </c>
    </row>
    <row r="42">
      <c r="A42" t="inlineStr">
        <is>
          <t>13</t>
        </is>
      </c>
    </row>
    <row r="43">
      <c r="A43" t="inlineStr">
        <is>
          <t>00</t>
        </is>
      </c>
    </row>
    <row r="44">
      <c r="A44" t="inlineStr">
        <is>
          <t>00</t>
        </is>
      </c>
    </row>
    <row r="45">
      <c r="A45" t="inlineStr">
        <is>
          <t>06</t>
        </is>
      </c>
    </row>
    <row r="46">
      <c r="A46" t="inlineStr">
        <is>
          <t>01</t>
        </is>
      </c>
    </row>
    <row r="47">
      <c r="A47" t="inlineStr">
        <is>
          <t>00</t>
        </is>
      </c>
    </row>
    <row r="48">
      <c r="A48" t="inlineStr">
        <is>
          <t>4E</t>
        </is>
      </c>
    </row>
    <row r="49">
      <c r="A49" t="inlineStr">
        <is>
          <t>4F</t>
        </is>
      </c>
    </row>
    <row r="50">
      <c r="A50" t="inlineStr">
        <is>
          <t>52</t>
        </is>
      </c>
    </row>
    <row r="51">
      <c r="A51" t="inlineStr">
        <is>
          <t>44</t>
        </is>
      </c>
    </row>
    <row r="52">
      <c r="A52" t="inlineStr">
        <is>
          <t>4D</t>
        </is>
      </c>
    </row>
    <row r="53">
      <c r="A53" t="inlineStr">
        <is>
          <t>49</t>
        </is>
      </c>
    </row>
    <row r="54">
      <c r="A54" t="inlineStr">
        <is>
          <t>43</t>
        </is>
      </c>
    </row>
    <row r="55">
      <c r="A55" t="inlineStr">
        <is>
          <t>00</t>
        </is>
      </c>
    </row>
    <row r="56">
      <c r="A56" t="inlineStr">
        <is>
          <t>00</t>
        </is>
      </c>
    </row>
    <row r="57">
      <c r="A57" t="inlineStr">
        <is>
          <t>00</t>
        </is>
      </c>
    </row>
    <row r="58">
      <c r="A58" t="inlineStr">
        <is>
          <t>00</t>
        </is>
      </c>
    </row>
    <row r="59">
      <c r="A59" t="inlineStr">
        <is>
          <t>00</t>
        </is>
      </c>
    </row>
    <row r="60">
      <c r="A60" t="inlineStr">
        <is>
          <t>00</t>
        </is>
      </c>
    </row>
    <row r="61">
      <c r="A61" t="inlineStr">
        <is>
          <t>00</t>
        </is>
      </c>
    </row>
    <row r="62">
      <c r="A62" t="inlineStr">
        <is>
          <t>00</t>
        </is>
      </c>
    </row>
    <row r="63">
      <c r="A63" t="inlineStr">
        <is>
          <t>00</t>
        </is>
      </c>
    </row>
    <row r="64">
      <c r="A64" t="inlineStr">
        <is>
          <t>00</t>
        </is>
      </c>
    </row>
    <row r="65">
      <c r="A65" t="inlineStr">
        <is>
          <t>00</t>
        </is>
      </c>
    </row>
    <row r="66">
      <c r="A66" t="inlineStr">
        <is>
          <t>00</t>
        </is>
      </c>
    </row>
    <row r="67">
      <c r="A67" t="inlineStr">
        <is>
          <t>00</t>
        </is>
      </c>
    </row>
    <row r="68">
      <c r="A68" t="inlineStr">
        <is>
          <t>00</t>
        </is>
      </c>
    </row>
    <row r="69">
      <c r="A69" t="inlineStr">
        <is>
          <t>0E</t>
        </is>
      </c>
    </row>
    <row r="70">
      <c r="A70" t="inlineStr">
        <is>
          <t>00</t>
        </is>
      </c>
    </row>
    <row r="71">
      <c r="A71" t="inlineStr">
        <is>
          <t>00</t>
        </is>
      </c>
    </row>
    <row r="72">
      <c r="A72" t="inlineStr">
        <is>
          <t>B8</t>
        </is>
      </c>
    </row>
    <row r="73">
      <c r="A73" t="inlineStr">
        <is>
          <t>00</t>
        </is>
      </c>
    </row>
    <row r="74">
      <c r="A74" t="inlineStr">
        <is>
          <t>01</t>
        </is>
      </c>
    </row>
    <row r="75">
      <c r="A75" t="inlineStr">
        <is>
          <t>10</t>
        </is>
      </c>
    </row>
    <row r="76">
      <c r="A76" t="inlineStr">
        <is>
          <t>10</t>
        </is>
      </c>
    </row>
    <row r="77">
      <c r="A77" t="inlineStr">
        <is>
          <t>00</t>
        </is>
      </c>
    </row>
    <row r="78">
      <c r="A78" t="inlineStr">
        <is>
          <t>00</t>
        </is>
      </c>
    </row>
    <row r="79">
      <c r="A79" t="inlineStr">
        <is>
          <t>00</t>
        </is>
      </c>
    </row>
    <row r="80">
      <c r="A80" t="inlineStr">
        <is>
          <t>00</t>
        </is>
      </c>
    </row>
    <row r="81">
      <c r="A81" t="inlineStr">
        <is>
          <t>00</t>
        </is>
      </c>
    </row>
    <row r="82">
      <c r="A82" t="inlineStr">
        <is>
          <t>03</t>
        </is>
      </c>
    </row>
    <row r="83">
      <c r="A83" t="inlineStr">
        <is>
          <t>14</t>
        </is>
      </c>
    </row>
    <row r="84">
      <c r="A84" t="inlineStr">
        <is>
          <t>00</t>
        </is>
      </c>
    </row>
    <row r="85">
      <c r="A85" t="inlineStr">
        <is>
          <t>00</t>
        </is>
      </c>
    </row>
    <row r="86">
      <c r="A86" t="inlineStr">
        <is>
          <t>06</t>
        </is>
      </c>
    </row>
    <row r="87">
      <c r="A87" t="inlineStr">
        <is>
          <t>01</t>
        </is>
      </c>
    </row>
    <row r="88">
      <c r="A88" t="inlineStr">
        <is>
          <t>00</t>
        </is>
      </c>
    </row>
    <row r="89">
      <c r="A89" t="inlineStr">
        <is>
          <t>4E</t>
        </is>
      </c>
    </row>
    <row r="90">
      <c r="A90" t="inlineStr">
        <is>
          <t>4F</t>
        </is>
      </c>
    </row>
    <row r="91">
      <c r="A91" t="inlineStr">
        <is>
          <t>52</t>
        </is>
      </c>
    </row>
    <row r="92">
      <c r="A92" t="inlineStr">
        <is>
          <t>44</t>
        </is>
      </c>
    </row>
    <row r="93">
      <c r="A93" t="inlineStr">
        <is>
          <t>4D</t>
        </is>
      </c>
    </row>
    <row r="94">
      <c r="A94" t="inlineStr">
        <is>
          <t>49</t>
        </is>
      </c>
    </row>
    <row r="95">
      <c r="A95" t="inlineStr">
        <is>
          <t>43</t>
        </is>
      </c>
    </row>
    <row r="96">
      <c r="A96" t="inlineStr">
        <is>
          <t>00</t>
        </is>
      </c>
    </row>
    <row r="97">
      <c r="A97" t="inlineStr">
        <is>
          <t>00</t>
        </is>
      </c>
    </row>
    <row r="98">
      <c r="A98" t="inlineStr">
        <is>
          <t>00</t>
        </is>
      </c>
    </row>
    <row r="99">
      <c r="A99" t="inlineStr">
        <is>
          <t>00</t>
        </is>
      </c>
    </row>
    <row r="100">
      <c r="A100" t="inlineStr">
        <is>
          <t>00</t>
        </is>
      </c>
    </row>
    <row r="101">
      <c r="A101" t="inlineStr">
        <is>
          <t>00</t>
        </is>
      </c>
    </row>
    <row r="102">
      <c r="A102" t="inlineStr">
        <is>
          <t>00</t>
        </is>
      </c>
    </row>
    <row r="103">
      <c r="A103" t="inlineStr">
        <is>
          <t>00</t>
        </is>
      </c>
    </row>
    <row r="104">
      <c r="A104" t="inlineStr">
        <is>
          <t>00</t>
        </is>
      </c>
    </row>
    <row r="105">
      <c r="A105" t="inlineStr">
        <is>
          <t>00</t>
        </is>
      </c>
    </row>
    <row r="106">
      <c r="A106" t="inlineStr">
        <is>
          <t>00</t>
        </is>
      </c>
    </row>
    <row r="107">
      <c r="A107" t="inlineStr">
        <is>
          <t>00</t>
        </is>
      </c>
    </row>
    <row r="108">
      <c r="A108" t="inlineStr">
        <is>
          <t>00</t>
        </is>
      </c>
    </row>
    <row r="109">
      <c r="A109" t="inlineStr">
        <is>
          <t>00</t>
        </is>
      </c>
    </row>
    <row r="110">
      <c r="A110" t="inlineStr">
        <is>
          <t>0F</t>
        </is>
      </c>
    </row>
    <row r="111">
      <c r="A111" t="inlineStr">
        <is>
          <t>00</t>
        </is>
      </c>
    </row>
    <row r="112">
      <c r="A112" t="inlineStr">
        <is>
          <t>00</t>
        </is>
      </c>
    </row>
    <row r="113">
      <c r="A113" t="inlineStr">
        <is>
          <t>B0</t>
        </is>
      </c>
    </row>
    <row r="114">
      <c r="A114" t="inlineStr">
        <is>
          <t>00</t>
        </is>
      </c>
    </row>
    <row r="115">
      <c r="A115" t="inlineStr">
        <is>
          <t>01</t>
        </is>
      </c>
    </row>
    <row r="116">
      <c r="A116" t="inlineStr">
        <is>
          <t>10</t>
        </is>
      </c>
    </row>
    <row r="117">
      <c r="A117" t="inlineStr">
        <is>
          <t>10</t>
        </is>
      </c>
    </row>
    <row r="118">
      <c r="A118" t="inlineStr">
        <is>
          <t>00</t>
        </is>
      </c>
    </row>
    <row r="119">
      <c r="A119" t="inlineStr">
        <is>
          <t>00</t>
        </is>
      </c>
    </row>
    <row r="120">
      <c r="A120" t="inlineStr">
        <is>
          <t>00</t>
        </is>
      </c>
    </row>
    <row r="121">
      <c r="A121" t="inlineStr">
        <is>
          <t>00</t>
        </is>
      </c>
    </row>
    <row r="122">
      <c r="A122" t="inlineStr">
        <is>
          <t>00</t>
        </is>
      </c>
    </row>
    <row r="123">
      <c r="A123" t="inlineStr">
        <is>
          <t>03</t>
        </is>
      </c>
    </row>
    <row r="124">
      <c r="A124" t="inlineStr">
        <is>
          <t>15</t>
        </is>
      </c>
    </row>
    <row r="125">
      <c r="A125" t="inlineStr">
        <is>
          <t>00</t>
        </is>
      </c>
    </row>
    <row r="126">
      <c r="A126" t="inlineStr">
        <is>
          <t>00</t>
        </is>
      </c>
    </row>
    <row r="127">
      <c r="A127" t="inlineStr">
        <is>
          <t>06</t>
        </is>
      </c>
    </row>
    <row r="128">
      <c r="A128" t="inlineStr">
        <is>
          <t>01</t>
        </is>
      </c>
    </row>
    <row r="129">
      <c r="A129" t="inlineStr">
        <is>
          <t>00</t>
        </is>
      </c>
    </row>
    <row r="130">
      <c r="A130" t="inlineStr">
        <is>
          <t>4E</t>
        </is>
      </c>
    </row>
    <row r="131">
      <c r="A131" t="inlineStr">
        <is>
          <t>4F</t>
        </is>
      </c>
    </row>
    <row r="132">
      <c r="A132" t="inlineStr">
        <is>
          <t>52</t>
        </is>
      </c>
    </row>
    <row r="133">
      <c r="A133" t="inlineStr">
        <is>
          <t>44</t>
        </is>
      </c>
    </row>
    <row r="134">
      <c r="A134" t="inlineStr">
        <is>
          <t>4D</t>
        </is>
      </c>
    </row>
    <row r="135">
      <c r="A135" t="inlineStr">
        <is>
          <t>49</t>
        </is>
      </c>
    </row>
    <row r="136">
      <c r="A136" t="inlineStr">
        <is>
          <t>43</t>
        </is>
      </c>
    </row>
    <row r="137">
      <c r="A137" t="inlineStr">
        <is>
          <t>00</t>
        </is>
      </c>
    </row>
    <row r="138">
      <c r="A138" t="inlineStr">
        <is>
          <t>00</t>
        </is>
      </c>
    </row>
    <row r="139">
      <c r="A139" t="inlineStr">
        <is>
          <t>00</t>
        </is>
      </c>
    </row>
    <row r="140">
      <c r="A140" t="inlineStr">
        <is>
          <t>00</t>
        </is>
      </c>
    </row>
    <row r="141">
      <c r="A141" t="inlineStr">
        <is>
          <t>00</t>
        </is>
      </c>
    </row>
    <row r="142">
      <c r="A142" t="inlineStr">
        <is>
          <t>00</t>
        </is>
      </c>
    </row>
    <row r="143">
      <c r="A143" t="inlineStr">
        <is>
          <t>00</t>
        </is>
      </c>
    </row>
    <row r="144">
      <c r="A144" t="inlineStr">
        <is>
          <t>00</t>
        </is>
      </c>
    </row>
    <row r="145">
      <c r="A145" t="inlineStr">
        <is>
          <t>00</t>
        </is>
      </c>
    </row>
    <row r="146">
      <c r="A146" t="inlineStr">
        <is>
          <t>00</t>
        </is>
      </c>
    </row>
    <row r="147">
      <c r="A147" t="inlineStr">
        <is>
          <t>00</t>
        </is>
      </c>
    </row>
    <row r="148">
      <c r="A148" t="inlineStr">
        <is>
          <t>00</t>
        </is>
      </c>
    </row>
    <row r="149">
      <c r="A149" t="inlineStr">
        <is>
          <t>00</t>
        </is>
      </c>
    </row>
    <row r="150">
      <c r="A150" t="inlineStr">
        <is>
          <t>00</t>
        </is>
      </c>
    </row>
    <row r="151">
      <c r="A151" t="inlineStr">
        <is>
          <t>10</t>
        </is>
      </c>
    </row>
    <row r="152">
      <c r="A152" t="inlineStr">
        <is>
          <t>00</t>
        </is>
      </c>
    </row>
    <row r="153">
      <c r="A153" t="inlineStr">
        <is>
          <t>00</t>
        </is>
      </c>
    </row>
    <row r="154">
      <c r="A154" t="inlineStr">
        <is>
          <t>A0</t>
        </is>
      </c>
    </row>
    <row r="155">
      <c r="A155" t="inlineStr">
        <is>
          <t>00</t>
        </is>
      </c>
    </row>
    <row r="156">
      <c r="A156" t="inlineStr">
        <is>
          <t>01</t>
        </is>
      </c>
    </row>
    <row r="157">
      <c r="A157" t="inlineStr">
        <is>
          <t>10</t>
        </is>
      </c>
    </row>
    <row r="158">
      <c r="A158" t="inlineStr">
        <is>
          <t>10</t>
        </is>
      </c>
    </row>
    <row r="159">
      <c r="A159" t="inlineStr">
        <is>
          <t>00</t>
        </is>
      </c>
    </row>
    <row r="160">
      <c r="A160" t="inlineStr">
        <is>
          <t>00</t>
        </is>
      </c>
    </row>
    <row r="161">
      <c r="A161" t="inlineStr">
        <is>
          <t>00</t>
        </is>
      </c>
    </row>
    <row r="162">
      <c r="A162" t="inlineStr">
        <is>
          <t>00</t>
        </is>
      </c>
    </row>
    <row r="163">
      <c r="A163" t="inlineStr">
        <is>
          <t>00</t>
        </is>
      </c>
    </row>
    <row r="164">
      <c r="A164" t="inlineStr">
        <is>
          <t>03</t>
        </is>
      </c>
    </row>
    <row r="165">
      <c r="A165" t="inlineStr">
        <is>
          <t>36</t>
        </is>
      </c>
    </row>
    <row r="166">
      <c r="A166" t="inlineStr">
        <is>
          <t>00</t>
        </is>
      </c>
    </row>
    <row r="167">
      <c r="A167" t="inlineStr">
        <is>
          <t>00</t>
        </is>
      </c>
    </row>
    <row r="168">
      <c r="A168" t="inlineStr">
        <is>
          <t>06</t>
        </is>
      </c>
    </row>
    <row r="169">
      <c r="A169" t="inlineStr">
        <is>
          <t>01</t>
        </is>
      </c>
    </row>
    <row r="170">
      <c r="A170" t="inlineStr">
        <is>
          <t>00</t>
        </is>
      </c>
    </row>
    <row r="171">
      <c r="A171" t="inlineStr">
        <is>
          <t>4E</t>
        </is>
      </c>
    </row>
    <row r="172">
      <c r="A172" t="inlineStr">
        <is>
          <t>4F</t>
        </is>
      </c>
    </row>
    <row r="173">
      <c r="A173" t="inlineStr">
        <is>
          <t>52</t>
        </is>
      </c>
    </row>
    <row r="174">
      <c r="A174" t="inlineStr">
        <is>
          <t>44</t>
        </is>
      </c>
    </row>
    <row r="175">
      <c r="A175" t="inlineStr">
        <is>
          <t>4D</t>
        </is>
      </c>
    </row>
    <row r="176">
      <c r="A176" t="inlineStr">
        <is>
          <t>49</t>
        </is>
      </c>
    </row>
    <row r="177">
      <c r="A177" t="inlineStr">
        <is>
          <t>43</t>
        </is>
      </c>
    </row>
    <row r="178">
      <c r="A178" t="inlineStr">
        <is>
          <t>00</t>
        </is>
      </c>
    </row>
    <row r="179">
      <c r="A179" t="inlineStr">
        <is>
          <t>00</t>
        </is>
      </c>
    </row>
    <row r="180">
      <c r="A180" t="inlineStr">
        <is>
          <t>00</t>
        </is>
      </c>
    </row>
    <row r="181">
      <c r="A181" t="inlineStr">
        <is>
          <t>00</t>
        </is>
      </c>
    </row>
    <row r="182">
      <c r="A182" t="inlineStr">
        <is>
          <t>00</t>
        </is>
      </c>
    </row>
    <row r="183">
      <c r="A183" t="inlineStr">
        <is>
          <t>00</t>
        </is>
      </c>
    </row>
    <row r="184">
      <c r="A184" t="inlineStr">
        <is>
          <t>00</t>
        </is>
      </c>
    </row>
    <row r="185">
      <c r="A185" t="inlineStr">
        <is>
          <t>00</t>
        </is>
      </c>
    </row>
    <row r="186">
      <c r="A186" t="inlineStr">
        <is>
          <t>00</t>
        </is>
      </c>
    </row>
    <row r="187">
      <c r="A187" t="inlineStr">
        <is>
          <t>00</t>
        </is>
      </c>
    </row>
    <row r="188">
      <c r="A188" t="inlineStr">
        <is>
          <t>00</t>
        </is>
      </c>
    </row>
    <row r="189">
      <c r="A189" t="inlineStr">
        <is>
          <t>00</t>
        </is>
      </c>
    </row>
    <row r="190">
      <c r="A190" t="inlineStr">
        <is>
          <t>00</t>
        </is>
      </c>
    </row>
    <row r="191">
      <c r="A191" t="inlineStr">
        <is>
          <t>00</t>
        </is>
      </c>
    </row>
    <row r="192">
      <c r="A192" t="inlineStr">
        <is>
          <t>0D</t>
        </is>
      </c>
    </row>
    <row r="193">
      <c r="A193" t="inlineStr">
        <is>
          <t>00</t>
        </is>
      </c>
    </row>
    <row r="194">
      <c r="A194" t="inlineStr">
        <is>
          <t>00</t>
        </is>
      </c>
    </row>
    <row r="195">
      <c r="A195" t="inlineStr">
        <is>
          <t>00</t>
        </is>
      </c>
    </row>
    <row r="196">
      <c r="A196" t="inlineStr">
        <is>
          <t>00</t>
        </is>
      </c>
    </row>
    <row r="197">
      <c r="A197" t="inlineStr">
        <is>
          <t>01</t>
        </is>
      </c>
    </row>
    <row r="198">
      <c r="A198" t="inlineStr">
        <is>
          <t>10</t>
        </is>
      </c>
    </row>
    <row r="199">
      <c r="A199" t="inlineStr">
        <is>
          <t>C0</t>
        </is>
      </c>
    </row>
    <row r="200">
      <c r="A200" t="inlineStr">
        <is>
          <t>00</t>
        </is>
      </c>
    </row>
    <row r="201">
      <c r="A201" t="inlineStr">
        <is>
          <t>00</t>
        </is>
      </c>
    </row>
    <row r="202">
      <c r="A202" t="inlineStr">
        <is>
          <t>00</t>
        </is>
      </c>
    </row>
    <row r="203">
      <c r="A203" t="inlineStr">
        <is>
          <t>00</t>
        </is>
      </c>
    </row>
    <row r="204">
      <c r="A204" t="inlineStr">
        <is>
          <t>00</t>
        </is>
      </c>
    </row>
    <row r="205">
      <c r="A205" t="inlineStr">
        <is>
          <t>03</t>
        </is>
      </c>
    </row>
    <row r="206">
      <c r="A206" t="inlineStr">
        <is>
          <t>37</t>
        </is>
      </c>
    </row>
    <row r="207">
      <c r="A207" t="inlineStr">
        <is>
          <t>00</t>
        </is>
      </c>
    </row>
    <row r="208">
      <c r="A208" t="inlineStr">
        <is>
          <t>00</t>
        </is>
      </c>
    </row>
    <row r="209">
      <c r="A209" t="inlineStr">
        <is>
          <t>06</t>
        </is>
      </c>
    </row>
    <row r="210">
      <c r="A210" t="inlineStr">
        <is>
          <t>01</t>
        </is>
      </c>
    </row>
    <row r="211">
      <c r="A211" t="inlineStr">
        <is>
          <t>00</t>
        </is>
      </c>
    </row>
    <row r="212">
      <c r="A212" t="inlineStr">
        <is>
          <t>4E</t>
        </is>
      </c>
    </row>
    <row r="213">
      <c r="A213" t="inlineStr">
        <is>
          <t>4F</t>
        </is>
      </c>
    </row>
    <row r="214">
      <c r="A214" t="inlineStr">
        <is>
          <t>52</t>
        </is>
      </c>
    </row>
    <row r="215">
      <c r="A215" t="inlineStr">
        <is>
          <t>44</t>
        </is>
      </c>
    </row>
    <row r="216">
      <c r="A216" t="inlineStr">
        <is>
          <t>4D</t>
        </is>
      </c>
    </row>
    <row r="217">
      <c r="A217" t="inlineStr">
        <is>
          <t>49</t>
        </is>
      </c>
    </row>
    <row r="218">
      <c r="A218" t="inlineStr">
        <is>
          <t>43</t>
        </is>
      </c>
    </row>
    <row r="219">
      <c r="A219" t="inlineStr">
        <is>
          <t>00</t>
        </is>
      </c>
    </row>
    <row r="220">
      <c r="A220" t="inlineStr">
        <is>
          <t>00</t>
        </is>
      </c>
    </row>
    <row r="221">
      <c r="A221" t="inlineStr">
        <is>
          <t>00</t>
        </is>
      </c>
    </row>
    <row r="222">
      <c r="A222" t="inlineStr">
        <is>
          <t>00</t>
        </is>
      </c>
    </row>
    <row r="223">
      <c r="A223" t="inlineStr">
        <is>
          <t>00</t>
        </is>
      </c>
    </row>
    <row r="224">
      <c r="A224" t="inlineStr">
        <is>
          <t>00</t>
        </is>
      </c>
    </row>
    <row r="225">
      <c r="A225" t="inlineStr">
        <is>
          <t>00</t>
        </is>
      </c>
    </row>
    <row r="226">
      <c r="A226" t="inlineStr">
        <is>
          <t>00</t>
        </is>
      </c>
    </row>
    <row r="227">
      <c r="A227" t="inlineStr">
        <is>
          <t>00</t>
        </is>
      </c>
    </row>
    <row r="228">
      <c r="A228" t="inlineStr">
        <is>
          <t>00</t>
        </is>
      </c>
    </row>
    <row r="229">
      <c r="A229" t="inlineStr">
        <is>
          <t>00</t>
        </is>
      </c>
    </row>
    <row r="230">
      <c r="A230" t="inlineStr">
        <is>
          <t>00</t>
        </is>
      </c>
    </row>
    <row r="231">
      <c r="A231" t="inlineStr">
        <is>
          <t>00</t>
        </is>
      </c>
    </row>
    <row r="232">
      <c r="A232" t="inlineStr">
        <is>
          <t>00</t>
        </is>
      </c>
    </row>
    <row r="233">
      <c r="A233" t="inlineStr">
        <is>
          <t>11</t>
        </is>
      </c>
    </row>
    <row r="234">
      <c r="A234" t="inlineStr">
        <is>
          <t>00</t>
        </is>
      </c>
    </row>
    <row r="235">
      <c r="A235" t="inlineStr">
        <is>
          <t>00</t>
        </is>
      </c>
    </row>
    <row r="236">
      <c r="A236" t="inlineStr">
        <is>
          <t>00</t>
        </is>
      </c>
    </row>
    <row r="237">
      <c r="A237" t="inlineStr">
        <is>
          <t>00</t>
        </is>
      </c>
    </row>
    <row r="238">
      <c r="A238" t="inlineStr">
        <is>
          <t>01</t>
        </is>
      </c>
    </row>
    <row r="239">
      <c r="A239" t="inlineStr">
        <is>
          <t>10</t>
        </is>
      </c>
    </row>
    <row r="240">
      <c r="A240" t="inlineStr">
        <is>
          <t>80</t>
        </is>
      </c>
    </row>
    <row r="241">
      <c r="A241" t="inlineStr">
        <is>
          <t>00</t>
        </is>
      </c>
    </row>
    <row r="242">
      <c r="A242" t="inlineStr">
        <is>
          <t>00</t>
        </is>
      </c>
    </row>
    <row r="243">
      <c r="A243" t="inlineStr">
        <is>
          <t>00</t>
        </is>
      </c>
    </row>
    <row r="244">
      <c r="A244" t="inlineStr">
        <is>
          <t>00</t>
        </is>
      </c>
    </row>
    <row r="245">
      <c r="A245" t="inlineStr">
        <is>
          <t>00</t>
        </is>
      </c>
    </row>
    <row r="246">
      <c r="A246" t="inlineStr">
        <is>
          <t>03</t>
        </is>
      </c>
    </row>
    <row r="247">
      <c r="A247" t="inlineStr">
        <is>
          <t>51</t>
        </is>
      </c>
    </row>
    <row r="248">
      <c r="A248" t="inlineStr">
        <is>
          <t>00</t>
        </is>
      </c>
    </row>
    <row r="249">
      <c r="A249" t="inlineStr">
        <is>
          <t>00</t>
        </is>
      </c>
    </row>
    <row r="250">
      <c r="A250" t="inlineStr">
        <is>
          <t>06</t>
        </is>
      </c>
    </row>
    <row r="251">
      <c r="A251" t="inlineStr">
        <is>
          <t>02</t>
        </is>
      </c>
    </row>
    <row r="252">
      <c r="A252" t="inlineStr">
        <is>
          <t>00</t>
        </is>
      </c>
    </row>
    <row r="253">
      <c r="A253" t="inlineStr">
        <is>
          <t>4E</t>
        </is>
      </c>
    </row>
    <row r="254">
      <c r="A254" t="inlineStr">
        <is>
          <t>4F</t>
        </is>
      </c>
    </row>
    <row r="255">
      <c r="A255" t="inlineStr">
        <is>
          <t>52</t>
        </is>
      </c>
    </row>
    <row r="256">
      <c r="A256" t="inlineStr">
        <is>
          <t>44</t>
        </is>
      </c>
    </row>
    <row r="257">
      <c r="A257" t="inlineStr">
        <is>
          <t>4D</t>
        </is>
      </c>
    </row>
    <row r="258">
      <c r="A258" t="inlineStr">
        <is>
          <t>49</t>
        </is>
      </c>
    </row>
    <row r="259">
      <c r="A259" t="inlineStr">
        <is>
          <t>43</t>
        </is>
      </c>
    </row>
    <row r="260">
      <c r="A260" t="inlineStr">
        <is>
          <t>00</t>
        </is>
      </c>
    </row>
    <row r="261">
      <c r="A261" t="inlineStr">
        <is>
          <t>00</t>
        </is>
      </c>
    </row>
    <row r="262">
      <c r="A262" t="inlineStr">
        <is>
          <t>00</t>
        </is>
      </c>
    </row>
    <row r="263">
      <c r="A263" t="inlineStr">
        <is>
          <t>00</t>
        </is>
      </c>
    </row>
    <row r="264">
      <c r="A264" t="inlineStr">
        <is>
          <t>00</t>
        </is>
      </c>
    </row>
    <row r="265">
      <c r="A265" t="inlineStr">
        <is>
          <t>00</t>
        </is>
      </c>
    </row>
    <row r="266">
      <c r="A266" t="inlineStr">
        <is>
          <t>00</t>
        </is>
      </c>
    </row>
    <row r="267">
      <c r="A267" t="inlineStr">
        <is>
          <t>00</t>
        </is>
      </c>
    </row>
    <row r="268">
      <c r="A268" t="inlineStr">
        <is>
          <t>00</t>
        </is>
      </c>
    </row>
    <row r="269">
      <c r="A269" t="inlineStr">
        <is>
          <t>00</t>
        </is>
      </c>
    </row>
    <row r="270">
      <c r="A270" t="inlineStr">
        <is>
          <t>00</t>
        </is>
      </c>
    </row>
    <row r="271">
      <c r="A271" t="inlineStr">
        <is>
          <t>00</t>
        </is>
      </c>
    </row>
    <row r="272">
      <c r="A272" t="inlineStr">
        <is>
          <t>00</t>
        </is>
      </c>
    </row>
    <row r="273">
      <c r="A273" t="inlineStr">
        <is>
          <t>00</t>
        </is>
      </c>
    </row>
    <row r="274">
      <c r="A274" t="inlineStr">
        <is>
          <t>05</t>
        </is>
      </c>
    </row>
    <row r="275">
      <c r="A275" t="inlineStr">
        <is>
          <t>00</t>
        </is>
      </c>
    </row>
    <row r="276">
      <c r="A276" t="inlineStr">
        <is>
          <t>04</t>
        </is>
      </c>
    </row>
    <row r="277">
      <c r="A277" t="inlineStr">
        <is>
          <t>80</t>
        </is>
      </c>
    </row>
    <row r="278">
      <c r="A278" t="inlineStr">
        <is>
          <t>00</t>
        </is>
      </c>
    </row>
    <row r="279">
      <c r="A279" t="inlineStr">
        <is>
          <t>01</t>
        </is>
      </c>
    </row>
    <row r="280">
      <c r="A280" t="inlineStr">
        <is>
          <t>10</t>
        </is>
      </c>
    </row>
    <row r="281">
      <c r="A281" t="inlineStr">
        <is>
          <t>D0</t>
        </is>
      </c>
    </row>
    <row r="282">
      <c r="A282" t="inlineStr">
        <is>
          <t>00</t>
        </is>
      </c>
    </row>
    <row r="283">
      <c r="A283" t="inlineStr">
        <is>
          <t>00</t>
        </is>
      </c>
    </row>
    <row r="284">
      <c r="A284" t="inlineStr">
        <is>
          <t>00</t>
        </is>
      </c>
    </row>
    <row r="285">
      <c r="A285" t="inlineStr">
        <is>
          <t>02</t>
        </is>
      </c>
    </row>
    <row r="286">
      <c r="A286" t="inlineStr">
        <is>
          <t>00</t>
        </is>
      </c>
    </row>
    <row r="287">
      <c r="A287" t="inlineStr">
        <is>
          <t>01</t>
        </is>
      </c>
    </row>
    <row r="288">
      <c r="A288" t="inlineStr">
        <is>
          <t>0E</t>
        </is>
      </c>
    </row>
    <row r="289">
      <c r="A289" t="inlineStr">
        <is>
          <t>00</t>
        </is>
      </c>
    </row>
    <row r="290">
      <c r="A290" t="inlineStr">
        <is>
          <t>00</t>
        </is>
      </c>
    </row>
    <row r="291">
      <c r="A291" t="inlineStr">
        <is>
          <t>06</t>
        </is>
      </c>
    </row>
    <row r="292">
      <c r="A292" t="inlineStr">
        <is>
          <t>01</t>
        </is>
      </c>
    </row>
    <row r="293">
      <c r="A293" t="inlineStr">
        <is>
          <t>00</t>
        </is>
      </c>
    </row>
    <row r="294">
      <c r="A294" t="inlineStr">
        <is>
          <t>4E</t>
        </is>
      </c>
    </row>
    <row r="295">
      <c r="A295" t="inlineStr">
        <is>
          <t>4F</t>
        </is>
      </c>
    </row>
    <row r="296">
      <c r="A296" t="inlineStr">
        <is>
          <t>52</t>
        </is>
      </c>
    </row>
    <row r="297">
      <c r="A297" t="inlineStr">
        <is>
          <t>44</t>
        </is>
      </c>
    </row>
    <row r="298">
      <c r="A298" t="inlineStr">
        <is>
          <t>4D</t>
        </is>
      </c>
    </row>
    <row r="299">
      <c r="A299" t="inlineStr">
        <is>
          <t>49</t>
        </is>
      </c>
    </row>
    <row r="300">
      <c r="A300" t="inlineStr">
        <is>
          <t>43</t>
        </is>
      </c>
    </row>
    <row r="301">
      <c r="A301" t="inlineStr">
        <is>
          <t>00</t>
        </is>
      </c>
    </row>
    <row r="302">
      <c r="A302" t="inlineStr">
        <is>
          <t>00</t>
        </is>
      </c>
    </row>
    <row r="303">
      <c r="A303" t="inlineStr">
        <is>
          <t>00</t>
        </is>
      </c>
    </row>
    <row r="304">
      <c r="A304" t="inlineStr">
        <is>
          <t>00</t>
        </is>
      </c>
    </row>
    <row r="305">
      <c r="A305" t="inlineStr">
        <is>
          <t>00</t>
        </is>
      </c>
    </row>
    <row r="306">
      <c r="A306" t="inlineStr">
        <is>
          <t>00</t>
        </is>
      </c>
    </row>
    <row r="307">
      <c r="A307" t="inlineStr">
        <is>
          <t>00</t>
        </is>
      </c>
    </row>
    <row r="308">
      <c r="A308" t="inlineStr">
        <is>
          <t>00</t>
        </is>
      </c>
    </row>
    <row r="309">
      <c r="A309" t="inlineStr">
        <is>
          <t>15</t>
        </is>
      </c>
    </row>
    <row r="310">
      <c r="A310" t="inlineStr">
        <is>
          <t>04</t>
        </is>
      </c>
    </row>
    <row r="311">
      <c r="A311" t="inlineStr">
        <is>
          <t>95</t>
        </is>
      </c>
    </row>
    <row r="312">
      <c r="A312" t="inlineStr">
        <is>
          <t>29</t>
        </is>
      </c>
    </row>
    <row r="313">
      <c r="A313" t="inlineStr">
        <is>
          <t>12</t>
        </is>
      </c>
    </row>
    <row r="314">
      <c r="A314" t="inlineStr">
        <is>
          <t>85</t>
        </is>
      </c>
    </row>
    <row r="315">
      <c r="A315" t="inlineStr">
        <is>
          <t>08</t>
        </is>
      </c>
    </row>
    <row r="316">
      <c r="A316" t="inlineStr">
        <is>
          <t>00</t>
        </is>
      </c>
    </row>
    <row r="317">
      <c r="A317" t="inlineStr">
        <is>
          <t>C0</t>
        </is>
      </c>
    </row>
    <row r="318">
      <c r="A318" t="inlineStr">
        <is>
          <t>80</t>
        </is>
      </c>
    </row>
    <row r="319">
      <c r="A319" t="inlineStr">
        <is>
          <t>08</t>
        </is>
      </c>
    </row>
    <row r="320">
      <c r="A320" t="inlineStr">
        <is>
          <t>01</t>
        </is>
      </c>
    </row>
    <row r="321">
      <c r="A321" t="inlineStr">
        <is>
          <t>00</t>
        </is>
      </c>
    </row>
    <row r="322">
      <c r="A322" t="inlineStr">
        <is>
          <t>10</t>
        </is>
      </c>
    </row>
    <row r="323">
      <c r="A323" t="inlineStr">
        <is>
          <t>00</t>
        </is>
      </c>
    </row>
    <row r="324">
      <c r="A324" t="inlineStr">
        <is>
          <t>00</t>
        </is>
      </c>
    </row>
    <row r="325">
      <c r="A325" t="inlineStr">
        <is>
          <t>00</t>
        </is>
      </c>
    </row>
    <row r="326">
      <c r="A326" t="inlineStr">
        <is>
          <t>00</t>
        </is>
      </c>
    </row>
    <row r="327">
      <c r="A327" t="inlineStr">
        <is>
          <t>00</t>
        </is>
      </c>
    </row>
    <row r="328">
      <c r="A328" t="inlineStr">
        <is>
          <t>03</t>
        </is>
      </c>
    </row>
    <row r="329">
      <c r="A329" t="inlineStr">
        <is>
          <t>0F</t>
        </is>
      </c>
    </row>
    <row r="330">
      <c r="A330" t="inlineStr">
        <is>
          <t>00</t>
        </is>
      </c>
    </row>
    <row r="331">
      <c r="A331" t="inlineStr">
        <is>
          <t>00</t>
        </is>
      </c>
    </row>
    <row r="332">
      <c r="A332" t="inlineStr">
        <is>
          <t>06</t>
        </is>
      </c>
    </row>
    <row r="333">
      <c r="A333" t="inlineStr">
        <is>
          <t>01</t>
        </is>
      </c>
    </row>
    <row r="334">
      <c r="A334" t="inlineStr">
        <is>
          <t>00</t>
        </is>
      </c>
    </row>
    <row r="335">
      <c r="A335" t="inlineStr">
        <is>
          <t>4E</t>
        </is>
      </c>
    </row>
    <row r="336">
      <c r="A336" t="inlineStr">
        <is>
          <t>4F</t>
        </is>
      </c>
    </row>
    <row r="337">
      <c r="A337" t="inlineStr">
        <is>
          <t>52</t>
        </is>
      </c>
    </row>
    <row r="338">
      <c r="A338" t="inlineStr">
        <is>
          <t>44</t>
        </is>
      </c>
    </row>
    <row r="339">
      <c r="A339" t="inlineStr">
        <is>
          <t>4D</t>
        </is>
      </c>
    </row>
    <row r="340">
      <c r="A340" t="inlineStr">
        <is>
          <t>49</t>
        </is>
      </c>
    </row>
    <row r="341">
      <c r="A341" t="inlineStr">
        <is>
          <t>43</t>
        </is>
      </c>
    </row>
    <row r="342">
      <c r="A342" t="inlineStr">
        <is>
          <t>00</t>
        </is>
      </c>
    </row>
    <row r="343">
      <c r="A343" t="inlineStr">
        <is>
          <t>00</t>
        </is>
      </c>
    </row>
    <row r="344">
      <c r="A344" t="inlineStr">
        <is>
          <t>00</t>
        </is>
      </c>
    </row>
    <row r="345">
      <c r="A345" t="inlineStr">
        <is>
          <t>00</t>
        </is>
      </c>
    </row>
    <row r="346">
      <c r="A346" t="inlineStr">
        <is>
          <t>00</t>
        </is>
      </c>
    </row>
    <row r="347">
      <c r="A347" t="inlineStr">
        <is>
          <t>00</t>
        </is>
      </c>
    </row>
    <row r="348">
      <c r="A348" t="inlineStr">
        <is>
          <t>00</t>
        </is>
      </c>
    </row>
    <row r="349">
      <c r="A349" t="inlineStr">
        <is>
          <t>00</t>
        </is>
      </c>
    </row>
    <row r="350">
      <c r="A350" t="inlineStr">
        <is>
          <t>15</t>
        </is>
      </c>
    </row>
    <row r="351">
      <c r="A351" t="inlineStr">
        <is>
          <t>04</t>
        </is>
      </c>
    </row>
    <row r="352">
      <c r="A352" t="inlineStr">
        <is>
          <t>95</t>
        </is>
      </c>
    </row>
    <row r="353">
      <c r="A353" t="inlineStr">
        <is>
          <t>29</t>
        </is>
      </c>
    </row>
    <row r="354">
      <c r="A354" t="inlineStr">
        <is>
          <t>12</t>
        </is>
      </c>
    </row>
    <row r="355">
      <c r="A355" t="inlineStr">
        <is>
          <t>85</t>
        </is>
      </c>
    </row>
    <row r="356">
      <c r="A356" t="inlineStr">
        <is>
          <t>09</t>
        </is>
      </c>
    </row>
    <row r="357">
      <c r="A357" t="inlineStr">
        <is>
          <t>00</t>
        </is>
      </c>
    </row>
    <row r="358">
      <c r="A358" t="inlineStr">
        <is>
          <t>80</t>
        </is>
      </c>
    </row>
    <row r="359">
      <c r="A359" t="inlineStr">
        <is>
          <t>80</t>
        </is>
      </c>
    </row>
    <row r="360">
      <c r="A360" t="inlineStr">
        <is>
          <t>08</t>
        </is>
      </c>
    </row>
    <row r="361">
      <c r="A361" t="inlineStr">
        <is>
          <t>01</t>
        </is>
      </c>
    </row>
    <row r="362">
      <c r="A362" t="inlineStr">
        <is>
          <t>00</t>
        </is>
      </c>
    </row>
    <row r="363">
      <c r="A363" t="inlineStr">
        <is>
          <t>10</t>
        </is>
      </c>
    </row>
    <row r="364">
      <c r="A364" t="inlineStr">
        <is>
          <t>00</t>
        </is>
      </c>
    </row>
    <row r="365">
      <c r="A365" t="inlineStr">
        <is>
          <t>00</t>
        </is>
      </c>
    </row>
    <row r="366">
      <c r="A366" t="inlineStr">
        <is>
          <t>00</t>
        </is>
      </c>
    </row>
    <row r="367">
      <c r="A367" t="inlineStr">
        <is>
          <t>00</t>
        </is>
      </c>
    </row>
    <row r="368">
      <c r="A368" t="inlineStr">
        <is>
          <t>00</t>
        </is>
      </c>
    </row>
    <row r="369">
      <c r="A369" t="inlineStr">
        <is>
          <t>03</t>
        </is>
      </c>
    </row>
    <row r="370">
      <c r="A370" t="inlineStr">
        <is>
          <t>1B</t>
        </is>
      </c>
    </row>
    <row r="371">
      <c r="A371" t="inlineStr">
        <is>
          <t>00</t>
        </is>
      </c>
    </row>
    <row r="372">
      <c r="A372" t="inlineStr">
        <is>
          <t>00</t>
        </is>
      </c>
    </row>
    <row r="373">
      <c r="A373" t="inlineStr">
        <is>
          <t>06</t>
        </is>
      </c>
    </row>
    <row r="374">
      <c r="A374" t="inlineStr">
        <is>
          <t>01</t>
        </is>
      </c>
    </row>
    <row r="375">
      <c r="A375" t="inlineStr">
        <is>
          <t>00</t>
        </is>
      </c>
    </row>
    <row r="376">
      <c r="A376" t="inlineStr">
        <is>
          <t>4E</t>
        </is>
      </c>
    </row>
    <row r="377">
      <c r="A377" t="inlineStr">
        <is>
          <t>4F</t>
        </is>
      </c>
    </row>
    <row r="378">
      <c r="A378" t="inlineStr">
        <is>
          <t>52</t>
        </is>
      </c>
    </row>
    <row r="379">
      <c r="A379" t="inlineStr">
        <is>
          <t>44</t>
        </is>
      </c>
    </row>
    <row r="380">
      <c r="A380" t="inlineStr">
        <is>
          <t>4D</t>
        </is>
      </c>
    </row>
    <row r="381">
      <c r="A381" t="inlineStr">
        <is>
          <t>49</t>
        </is>
      </c>
    </row>
    <row r="382">
      <c r="A382" t="inlineStr">
        <is>
          <t>43</t>
        </is>
      </c>
    </row>
    <row r="383">
      <c r="A383" t="inlineStr">
        <is>
          <t>00</t>
        </is>
      </c>
    </row>
    <row r="384">
      <c r="A384" t="inlineStr">
        <is>
          <t>00</t>
        </is>
      </c>
    </row>
    <row r="385">
      <c r="A385" t="inlineStr">
        <is>
          <t>00</t>
        </is>
      </c>
    </row>
    <row r="386">
      <c r="A386" t="inlineStr">
        <is>
          <t>00</t>
        </is>
      </c>
    </row>
    <row r="387">
      <c r="A387" t="inlineStr">
        <is>
          <t>00</t>
        </is>
      </c>
    </row>
    <row r="388">
      <c r="A388" t="inlineStr">
        <is>
          <t>00</t>
        </is>
      </c>
    </row>
    <row r="389">
      <c r="A389" t="inlineStr">
        <is>
          <t>00</t>
        </is>
      </c>
    </row>
    <row r="390">
      <c r="A390" t="inlineStr">
        <is>
          <t>00</t>
        </is>
      </c>
    </row>
    <row r="391">
      <c r="A391" t="inlineStr">
        <is>
          <t>15</t>
        </is>
      </c>
    </row>
    <row r="392">
      <c r="A392" t="inlineStr">
        <is>
          <t>04</t>
        </is>
      </c>
    </row>
    <row r="393">
      <c r="A393" t="inlineStr">
        <is>
          <t>95</t>
        </is>
      </c>
    </row>
    <row r="394">
      <c r="A394" t="inlineStr">
        <is>
          <t>29</t>
        </is>
      </c>
    </row>
    <row r="395">
      <c r="A395" t="inlineStr">
        <is>
          <t>12</t>
        </is>
      </c>
    </row>
    <row r="396">
      <c r="A396" t="inlineStr">
        <is>
          <t>85</t>
        </is>
      </c>
    </row>
    <row r="397">
      <c r="A397" t="inlineStr">
        <is>
          <t>0A</t>
        </is>
      </c>
    </row>
    <row r="398">
      <c r="A398" t="inlineStr">
        <is>
          <t>00</t>
        </is>
      </c>
    </row>
    <row r="399">
      <c r="A399" t="inlineStr">
        <is>
          <t>00</t>
        </is>
      </c>
    </row>
    <row r="400">
      <c r="A400" t="inlineStr">
        <is>
          <t>80</t>
        </is>
      </c>
    </row>
    <row r="401">
      <c r="A401" t="inlineStr">
        <is>
          <t>08</t>
        </is>
      </c>
    </row>
    <row r="402">
      <c r="A402" t="inlineStr">
        <is>
          <t>01</t>
        </is>
      </c>
    </row>
    <row r="403">
      <c r="A403" t="inlineStr">
        <is>
          <t>00</t>
        </is>
      </c>
    </row>
    <row r="404">
      <c r="A404" t="inlineStr">
        <is>
          <t>10</t>
        </is>
      </c>
    </row>
    <row r="405">
      <c r="A405" t="inlineStr">
        <is>
          <t>00</t>
        </is>
      </c>
    </row>
    <row r="406">
      <c r="A406" t="inlineStr">
        <is>
          <t>00</t>
        </is>
      </c>
    </row>
    <row r="407">
      <c r="A407" t="inlineStr">
        <is>
          <t>00</t>
        </is>
      </c>
    </row>
    <row r="408">
      <c r="A408" t="inlineStr">
        <is>
          <t>00</t>
        </is>
      </c>
    </row>
    <row r="409">
      <c r="A409" t="inlineStr">
        <is>
          <t>00</t>
        </is>
      </c>
    </row>
    <row r="410">
      <c r="A410" t="inlineStr">
        <is>
          <t>03</t>
        </is>
      </c>
    </row>
    <row r="411">
      <c r="A411" t="inlineStr">
        <is>
          <t>33</t>
        </is>
      </c>
    </row>
    <row r="412">
      <c r="A412" t="inlineStr">
        <is>
          <t>00</t>
        </is>
      </c>
    </row>
    <row r="413">
      <c r="A413" t="inlineStr">
        <is>
          <t>00</t>
        </is>
      </c>
    </row>
    <row r="414">
      <c r="A414" t="inlineStr">
        <is>
          <t>02</t>
        </is>
      </c>
    </row>
    <row r="415">
      <c r="A415" t="inlineStr">
        <is>
          <t>01</t>
        </is>
      </c>
    </row>
    <row r="416">
      <c r="A416" t="inlineStr">
        <is>
          <t>00</t>
        </is>
      </c>
    </row>
    <row r="417">
      <c r="A417" t="inlineStr">
        <is>
          <t>4E</t>
        </is>
      </c>
    </row>
    <row r="418">
      <c r="A418" t="inlineStr">
        <is>
          <t>4F</t>
        </is>
      </c>
    </row>
    <row r="419">
      <c r="A419" t="inlineStr">
        <is>
          <t>52</t>
        </is>
      </c>
    </row>
    <row r="420">
      <c r="A420" t="inlineStr">
        <is>
          <t>44</t>
        </is>
      </c>
    </row>
    <row r="421">
      <c r="A421" t="inlineStr">
        <is>
          <t>4D</t>
        </is>
      </c>
    </row>
    <row r="422">
      <c r="A422" t="inlineStr">
        <is>
          <t>49</t>
        </is>
      </c>
    </row>
    <row r="423">
      <c r="A423" t="inlineStr">
        <is>
          <t>43</t>
        </is>
      </c>
    </row>
    <row r="424">
      <c r="A424" t="inlineStr">
        <is>
          <t>00</t>
        </is>
      </c>
    </row>
    <row r="425">
      <c r="A425" t="inlineStr">
        <is>
          <t>00</t>
        </is>
      </c>
    </row>
    <row r="426">
      <c r="A426" t="inlineStr">
        <is>
          <t>00</t>
        </is>
      </c>
    </row>
    <row r="427">
      <c r="A427" t="inlineStr">
        <is>
          <t>00</t>
        </is>
      </c>
    </row>
    <row r="428">
      <c r="A428" t="inlineStr">
        <is>
          <t>00</t>
        </is>
      </c>
    </row>
    <row r="429">
      <c r="A429" t="inlineStr">
        <is>
          <t>00</t>
        </is>
      </c>
    </row>
    <row r="430">
      <c r="A430" t="inlineStr">
        <is>
          <t>00</t>
        </is>
      </c>
    </row>
    <row r="431">
      <c r="A431" t="inlineStr">
        <is>
          <t>00</t>
        </is>
      </c>
    </row>
    <row r="432">
      <c r="A432" t="inlineStr">
        <is>
          <t>15</t>
        </is>
      </c>
    </row>
    <row r="433">
      <c r="A433" t="inlineStr">
        <is>
          <t>04</t>
        </is>
      </c>
    </row>
    <row r="434">
      <c r="A434" t="inlineStr">
        <is>
          <t>95</t>
        </is>
      </c>
    </row>
    <row r="435">
      <c r="A435" t="inlineStr">
        <is>
          <t>29</t>
        </is>
      </c>
    </row>
    <row r="436">
      <c r="A436" t="inlineStr">
        <is>
          <t>12</t>
        </is>
      </c>
    </row>
    <row r="437">
      <c r="A437" t="inlineStr">
        <is>
          <t>85</t>
        </is>
      </c>
    </row>
    <row r="438">
      <c r="A438" t="inlineStr">
        <is>
          <t>03</t>
        </is>
      </c>
    </row>
    <row r="439">
      <c r="A439" t="inlineStr">
        <is>
          <t>00</t>
        </is>
      </c>
    </row>
    <row r="440">
      <c r="A440" t="inlineStr">
        <is>
          <t>02</t>
        </is>
      </c>
    </row>
    <row r="441">
      <c r="A441" t="inlineStr">
        <is>
          <t>80</t>
        </is>
      </c>
    </row>
    <row r="442">
      <c r="A442" t="inlineStr">
        <is>
          <t>00</t>
        </is>
      </c>
    </row>
    <row r="443">
      <c r="A443" t="inlineStr">
        <is>
          <t>01</t>
        </is>
      </c>
    </row>
    <row r="444">
      <c r="A444" t="inlineStr">
        <is>
          <t>00</t>
        </is>
      </c>
    </row>
    <row r="445">
      <c r="A445" t="inlineStr">
        <is>
          <t>08</t>
        </is>
      </c>
    </row>
    <row r="446">
      <c r="A446" t="inlineStr">
        <is>
          <t>20</t>
        </is>
      </c>
    </row>
    <row r="447">
      <c r="A447" t="inlineStr">
        <is>
          <t>00</t>
        </is>
      </c>
    </row>
    <row r="448">
      <c r="A448" t="inlineStr">
        <is>
          <t>00</t>
        </is>
      </c>
    </row>
    <row r="449">
      <c r="A449" t="inlineStr">
        <is>
          <t>00</t>
        </is>
      </c>
    </row>
    <row r="450">
      <c r="A450" t="inlineStr">
        <is>
          <t>00</t>
        </is>
      </c>
    </row>
    <row r="451">
      <c r="A451" t="inlineStr">
        <is>
          <t>01</t>
        </is>
      </c>
    </row>
    <row r="452">
      <c r="A452" t="inlineStr">
        <is>
          <t>3D</t>
        </is>
      </c>
    </row>
    <row r="453">
      <c r="A453" t="inlineStr">
        <is>
          <t>00</t>
        </is>
      </c>
    </row>
    <row r="454">
      <c r="A454" t="inlineStr">
        <is>
          <t>00</t>
        </is>
      </c>
    </row>
    <row r="455">
      <c r="A455" t="inlineStr">
        <is>
          <t>0000</t>
        </is>
      </c>
    </row>
    <row r="456">
      <c r="A456" t="inlineStr">
        <is>
          <t>01</t>
        </is>
      </c>
    </row>
    <row r="457">
      <c r="A457" t="inlineStr">
        <is>
          <t>00</t>
        </is>
      </c>
    </row>
    <row r="458">
      <c r="A458" t="inlineStr">
        <is>
          <t>4E</t>
        </is>
      </c>
    </row>
    <row r="459">
      <c r="A459" t="inlineStr">
        <is>
          <t>4F</t>
        </is>
      </c>
    </row>
    <row r="460">
      <c r="A460" t="inlineStr">
        <is>
          <t>52</t>
        </is>
      </c>
    </row>
    <row r="461">
      <c r="A461" t="inlineStr">
        <is>
          <t>44</t>
        </is>
      </c>
    </row>
    <row r="462">
      <c r="A462" t="inlineStr">
        <is>
          <t>4D</t>
        </is>
      </c>
    </row>
    <row r="463">
      <c r="A463" t="inlineStr">
        <is>
          <t>49</t>
        </is>
      </c>
    </row>
    <row r="464">
      <c r="A464" t="inlineStr">
        <is>
          <t>43</t>
        </is>
      </c>
    </row>
    <row r="465">
      <c r="A465" t="inlineStr">
        <is>
          <t>00</t>
        </is>
      </c>
    </row>
    <row r="466">
      <c r="A466" t="inlineStr">
        <is>
          <t>00</t>
        </is>
      </c>
    </row>
    <row r="467">
      <c r="A467" t="inlineStr">
        <is>
          <t>00</t>
        </is>
      </c>
    </row>
    <row r="468">
      <c r="A468" t="inlineStr">
        <is>
          <t>00</t>
        </is>
      </c>
    </row>
    <row r="469">
      <c r="A469" t="inlineStr">
        <is>
          <t>00</t>
        </is>
      </c>
    </row>
    <row r="470">
      <c r="A470" t="inlineStr">
        <is>
          <t>00</t>
        </is>
      </c>
    </row>
    <row r="471">
      <c r="A471" t="inlineStr">
        <is>
          <t>00</t>
        </is>
      </c>
    </row>
    <row r="472">
      <c r="A472" t="inlineStr">
        <is>
          <t>00</t>
        </is>
      </c>
    </row>
    <row r="473">
      <c r="A473" t="inlineStr">
        <is>
          <t>15</t>
        </is>
      </c>
    </row>
    <row r="474">
      <c r="A474" t="inlineStr">
        <is>
          <t>04</t>
        </is>
      </c>
    </row>
    <row r="475">
      <c r="A475" t="inlineStr">
        <is>
          <t>95</t>
        </is>
      </c>
    </row>
    <row r="476">
      <c r="A476" t="inlineStr">
        <is>
          <t>29</t>
        </is>
      </c>
    </row>
    <row r="477">
      <c r="A477" t="inlineStr">
        <is>
          <t>12</t>
        </is>
      </c>
    </row>
    <row r="478">
      <c r="A478" t="inlineStr">
        <is>
          <t>85</t>
        </is>
      </c>
    </row>
    <row r="479">
      <c r="A479" t="inlineStr">
        <is>
          <t>03</t>
        </is>
      </c>
    </row>
    <row r="480">
      <c r="A480" t="inlineStr">
        <is>
          <t>00</t>
        </is>
      </c>
    </row>
    <row r="481">
      <c r="A481" t="inlineStr">
        <is>
          <t>02</t>
        </is>
      </c>
    </row>
    <row r="482">
      <c r="A482" t="inlineStr">
        <is>
          <t>80</t>
        </is>
      </c>
    </row>
    <row r="483">
      <c r="A483" t="inlineStr">
        <is>
          <t>00</t>
        </is>
      </c>
    </row>
    <row r="484">
      <c r="A484" t="inlineStr">
        <is>
          <t>01</t>
        </is>
      </c>
    </row>
    <row r="485">
      <c r="A485" t="inlineStr">
        <is>
          <t>00</t>
        </is>
      </c>
    </row>
    <row r="486">
      <c r="A486" t="inlineStr">
        <is>
          <t>00</t>
        </is>
      </c>
    </row>
    <row r="487">
      <c r="A487" t="inlineStr">
        <is>
          <t>20</t>
        </is>
      </c>
    </row>
    <row r="488">
      <c r="A488" t="inlineStr">
        <is>
          <t>00</t>
        </is>
      </c>
    </row>
    <row r="489">
      <c r="A489" t="inlineStr">
        <is>
          <t>00</t>
        </is>
      </c>
    </row>
    <row r="490">
      <c r="A490" t="inlineStr">
        <is>
          <t>00</t>
        </is>
      </c>
    </row>
    <row r="491">
      <c r="A491" t="inlineStr">
        <is>
          <t>00</t>
        </is>
      </c>
    </row>
    <row r="492">
      <c r="A492" t="inlineStr">
        <is>
          <t>01</t>
        </is>
      </c>
    </row>
    <row r="493">
      <c r="A493" t="inlineStr">
        <is>
          <t>29</t>
        </is>
      </c>
    </row>
    <row r="494">
      <c r="A494" t="inlineStr">
        <is>
          <t>00</t>
        </is>
      </c>
    </row>
    <row r="495">
      <c r="A495" t="inlineStr">
        <is>
          <t>00</t>
        </is>
      </c>
    </row>
    <row r="496">
      <c r="A496" t="inlineStr">
        <is>
          <t>02</t>
        </is>
      </c>
    </row>
    <row r="497">
      <c r="A497" t="inlineStr">
        <is>
          <t>02</t>
        </is>
      </c>
    </row>
    <row r="498">
      <c r="A498" t="inlineStr">
        <is>
          <t>00</t>
        </is>
      </c>
    </row>
    <row r="499">
      <c r="A499" t="inlineStr">
        <is>
          <t>4E</t>
        </is>
      </c>
    </row>
    <row r="500">
      <c r="A500" t="inlineStr">
        <is>
          <t>4F</t>
        </is>
      </c>
    </row>
    <row r="501">
      <c r="A501" t="inlineStr">
        <is>
          <t>52</t>
        </is>
      </c>
    </row>
    <row r="502">
      <c r="A502" t="inlineStr">
        <is>
          <t>44</t>
        </is>
      </c>
    </row>
    <row r="503">
      <c r="A503" t="inlineStr">
        <is>
          <t>4D</t>
        </is>
      </c>
    </row>
    <row r="504">
      <c r="A504" t="inlineStr">
        <is>
          <t>49</t>
        </is>
      </c>
    </row>
    <row r="505">
      <c r="A505" t="inlineStr">
        <is>
          <t>43</t>
        </is>
      </c>
    </row>
    <row r="506">
      <c r="A506" t="inlineStr">
        <is>
          <t>00</t>
        </is>
      </c>
    </row>
    <row r="507">
      <c r="A507" t="inlineStr">
        <is>
          <t>00</t>
        </is>
      </c>
    </row>
    <row r="508">
      <c r="A508" t="inlineStr">
        <is>
          <t>00</t>
        </is>
      </c>
    </row>
    <row r="509">
      <c r="A509" t="inlineStr">
        <is>
          <t>00</t>
        </is>
      </c>
    </row>
    <row r="510">
      <c r="A510" t="inlineStr">
        <is>
          <t>00</t>
        </is>
      </c>
    </row>
    <row r="511">
      <c r="A511" t="inlineStr">
        <is>
          <t>00</t>
        </is>
      </c>
    </row>
    <row r="512">
      <c r="A512" t="inlineStr">
        <is>
          <t>00</t>
        </is>
      </c>
    </row>
    <row r="513">
      <c r="A513" t="inlineStr">
        <is>
          <t>00</t>
        </is>
      </c>
    </row>
    <row r="514">
      <c r="A514" t="inlineStr">
        <is>
          <t>15</t>
        </is>
      </c>
    </row>
    <row r="515">
      <c r="A515" t="inlineStr">
        <is>
          <t>04</t>
        </is>
      </c>
    </row>
    <row r="516">
      <c r="A516" t="inlineStr">
        <is>
          <t>95</t>
        </is>
      </c>
    </row>
    <row r="517">
      <c r="A517" t="inlineStr">
        <is>
          <t>29</t>
        </is>
      </c>
    </row>
    <row r="518">
      <c r="A518" t="inlineStr">
        <is>
          <t>12</t>
        </is>
      </c>
    </row>
    <row r="519">
      <c r="A519" t="inlineStr">
        <is>
          <t>85</t>
        </is>
      </c>
    </row>
    <row r="520">
      <c r="A520" t="inlineStr">
        <is>
          <t>03</t>
        </is>
      </c>
    </row>
    <row r="521">
      <c r="A521" t="inlineStr">
        <is>
          <t>00</t>
        </is>
      </c>
    </row>
    <row r="522">
      <c r="A522" t="inlineStr">
        <is>
          <t>02</t>
        </is>
      </c>
    </row>
    <row r="523">
      <c r="A523" t="inlineStr">
        <is>
          <t>80</t>
        </is>
      </c>
    </row>
    <row r="524">
      <c r="A524" t="inlineStr">
        <is>
          <t>00</t>
        </is>
      </c>
    </row>
    <row r="525">
      <c r="A525" t="inlineStr">
        <is>
          <t>01</t>
        </is>
      </c>
    </row>
    <row r="526">
      <c r="A526" t="inlineStr">
        <is>
          <t>02</t>
        </is>
      </c>
    </row>
    <row r="527">
      <c r="A527" t="inlineStr">
        <is>
          <t>08</t>
        </is>
      </c>
    </row>
    <row r="528">
      <c r="A528" t="inlineStr">
        <is>
          <t>20</t>
        </is>
      </c>
    </row>
    <row r="529">
      <c r="A529" t="inlineStr">
        <is>
          <t>00</t>
        </is>
      </c>
    </row>
    <row r="530">
      <c r="A530" t="inlineStr">
        <is>
          <t>00</t>
        </is>
      </c>
    </row>
    <row r="531">
      <c r="A531" t="inlineStr">
        <is>
          <t>00</t>
        </is>
      </c>
    </row>
    <row r="532">
      <c r="A532" t="inlineStr">
        <is>
          <t>00</t>
        </is>
      </c>
    </row>
    <row r="533">
      <c r="A533" t="inlineStr">
        <is>
          <t>01</t>
        </is>
      </c>
    </row>
    <row r="534">
      <c r="A534" t="inlineStr">
        <is>
          <t>0D</t>
        </is>
      </c>
    </row>
    <row r="535">
      <c r="A535" t="inlineStr">
        <is>
          <t>00</t>
        </is>
      </c>
    </row>
    <row r="536">
      <c r="A536" t="inlineStr">
        <is>
          <t>00</t>
        </is>
      </c>
    </row>
    <row r="537">
      <c r="A537" t="inlineStr">
        <is>
          <t>02</t>
        </is>
      </c>
    </row>
    <row r="538">
      <c r="A538" t="inlineStr">
        <is>
          <t>01</t>
        </is>
      </c>
    </row>
    <row r="539">
      <c r="A539" t="inlineStr">
        <is>
          <t>00</t>
        </is>
      </c>
    </row>
    <row r="540">
      <c r="A540" t="inlineStr">
        <is>
          <t>4E</t>
        </is>
      </c>
    </row>
    <row r="541">
      <c r="A541" t="inlineStr">
        <is>
          <t>4F</t>
        </is>
      </c>
    </row>
    <row r="542">
      <c r="A542" t="inlineStr">
        <is>
          <t>52</t>
        </is>
      </c>
    </row>
    <row r="543">
      <c r="A543" t="inlineStr">
        <is>
          <t>44</t>
        </is>
      </c>
    </row>
    <row r="544">
      <c r="A544" t="inlineStr">
        <is>
          <t>4D</t>
        </is>
      </c>
    </row>
    <row r="545">
      <c r="A545" t="inlineStr">
        <is>
          <t>49</t>
        </is>
      </c>
    </row>
    <row r="546">
      <c r="A546" t="inlineStr">
        <is>
          <t>43</t>
        </is>
      </c>
    </row>
    <row r="547">
      <c r="A547" t="inlineStr">
        <is>
          <t>00</t>
        </is>
      </c>
    </row>
    <row r="548">
      <c r="A548" t="inlineStr">
        <is>
          <t>00</t>
        </is>
      </c>
    </row>
    <row r="549">
      <c r="A549" t="inlineStr">
        <is>
          <t>00</t>
        </is>
      </c>
    </row>
    <row r="550">
      <c r="A550" t="inlineStr">
        <is>
          <t>00</t>
        </is>
      </c>
    </row>
    <row r="551">
      <c r="A551" t="inlineStr">
        <is>
          <t>00</t>
        </is>
      </c>
    </row>
    <row r="552">
      <c r="A552" t="inlineStr">
        <is>
          <t>00</t>
        </is>
      </c>
    </row>
    <row r="553">
      <c r="A553" t="inlineStr">
        <is>
          <t>00</t>
        </is>
      </c>
    </row>
    <row r="554">
      <c r="A554" t="inlineStr">
        <is>
          <t>00</t>
        </is>
      </c>
    </row>
    <row r="555">
      <c r="A555" t="inlineStr">
        <is>
          <t>15</t>
        </is>
      </c>
    </row>
    <row r="556">
      <c r="A556" t="inlineStr">
        <is>
          <t>04</t>
        </is>
      </c>
    </row>
    <row r="557">
      <c r="A557" t="inlineStr">
        <is>
          <t>95</t>
        </is>
      </c>
    </row>
    <row r="558">
      <c r="A558" t="inlineStr">
        <is>
          <t>29</t>
        </is>
      </c>
    </row>
    <row r="559">
      <c r="A559" t="inlineStr">
        <is>
          <t>12</t>
        </is>
      </c>
    </row>
    <row r="560">
      <c r="A560" t="inlineStr">
        <is>
          <t>85</t>
        </is>
      </c>
    </row>
    <row r="561">
      <c r="A561" t="inlineStr">
        <is>
          <t>03</t>
        </is>
      </c>
    </row>
    <row r="562">
      <c r="A562" t="inlineStr">
        <is>
          <t>00</t>
        </is>
      </c>
    </row>
    <row r="563">
      <c r="A563" t="inlineStr">
        <is>
          <t>20</t>
        </is>
      </c>
    </row>
    <row r="564">
      <c r="A564" t="inlineStr">
        <is>
          <t>80</t>
        </is>
      </c>
    </row>
    <row r="565">
      <c r="A565" t="inlineStr">
        <is>
          <t>00</t>
        </is>
      </c>
    </row>
    <row r="566">
      <c r="A566" t="inlineStr">
        <is>
          <t>01</t>
        </is>
      </c>
    </row>
    <row r="567">
      <c r="A567" t="inlineStr">
        <is>
          <t>00</t>
        </is>
      </c>
    </row>
    <row r="568">
      <c r="A568" t="inlineStr">
        <is>
          <t>10</t>
        </is>
      </c>
    </row>
    <row r="569">
      <c r="A569" t="inlineStr">
        <is>
          <t>20</t>
        </is>
      </c>
    </row>
    <row r="570">
      <c r="A570" t="inlineStr">
        <is>
          <t>00</t>
        </is>
      </c>
    </row>
    <row r="571">
      <c r="A571" t="inlineStr">
        <is>
          <t>00</t>
        </is>
      </c>
    </row>
    <row r="572">
      <c r="A572" t="inlineStr">
        <is>
          <t>00</t>
        </is>
      </c>
    </row>
    <row r="573">
      <c r="A573" t="inlineStr">
        <is>
          <t>00</t>
        </is>
      </c>
    </row>
    <row r="574">
      <c r="A574" t="inlineStr">
        <is>
          <t>01</t>
        </is>
      </c>
    </row>
    <row r="575">
      <c r="A575" t="inlineStr">
        <is>
          <t>00</t>
        </is>
      </c>
    </row>
    <row r="576">
      <c r="A576" t="inlineStr">
        <is>
          <t>00</t>
        </is>
      </c>
    </row>
    <row r="577">
      <c r="A577" t="inlineStr">
        <is>
          <t>00</t>
        </is>
      </c>
    </row>
    <row r="578">
      <c r="A578" t="inlineStr">
        <is>
          <t>00</t>
        </is>
      </c>
    </row>
    <row r="579">
      <c r="A579" t="inlineStr">
        <is>
          <t>00</t>
        </is>
      </c>
    </row>
    <row r="580">
      <c r="A580" t="inlineStr">
        <is>
          <t>00</t>
        </is>
      </c>
    </row>
    <row r="581">
      <c r="A581" t="inlineStr">
        <is>
          <t>00</t>
        </is>
      </c>
    </row>
    <row r="582">
      <c r="A582" t="inlineStr">
        <is>
          <t>00</t>
        </is>
      </c>
    </row>
    <row r="583">
      <c r="A583" t="inlineStr">
        <is>
          <t>00</t>
        </is>
      </c>
    </row>
    <row r="584">
      <c r="A584" t="inlineStr">
        <is>
          <t>00</t>
        </is>
      </c>
    </row>
    <row r="585">
      <c r="A585" t="inlineStr">
        <is>
          <t>00</t>
        </is>
      </c>
    </row>
    <row r="586">
      <c r="A586" t="inlineStr">
        <is>
          <t>00</t>
        </is>
      </c>
    </row>
    <row r="587">
      <c r="A587" t="inlineStr">
        <is>
          <t>00</t>
        </is>
      </c>
    </row>
    <row r="588">
      <c r="A588" t="inlineStr">
        <is>
          <t>00</t>
        </is>
      </c>
    </row>
    <row r="589">
      <c r="A589" t="inlineStr">
        <is>
          <t>00</t>
        </is>
      </c>
    </row>
    <row r="590">
      <c r="A590" t="inlineStr">
        <is>
          <t>00</t>
        </is>
      </c>
    </row>
    <row r="591">
      <c r="A591" t="inlineStr">
        <is>
          <t>00</t>
        </is>
      </c>
    </row>
    <row r="592">
      <c r="A592" t="inlineStr">
        <is>
          <t>00</t>
        </is>
      </c>
    </row>
    <row r="593">
      <c r="A593" t="inlineStr">
        <is>
          <t>00</t>
        </is>
      </c>
    </row>
    <row r="594">
      <c r="A594" t="inlineStr">
        <is>
          <t>00</t>
        </is>
      </c>
    </row>
    <row r="595">
      <c r="A595" t="inlineStr">
        <is>
          <t>00</t>
        </is>
      </c>
    </row>
    <row r="596">
      <c r="A596" t="inlineStr">
        <is>
          <t>00</t>
        </is>
      </c>
    </row>
    <row r="597">
      <c r="A597" t="inlineStr">
        <is>
          <t>00</t>
        </is>
      </c>
    </row>
    <row r="598">
      <c r="A598" t="inlineStr">
        <is>
          <t>00</t>
        </is>
      </c>
    </row>
    <row r="599">
      <c r="A599" t="inlineStr">
        <is>
          <t>00</t>
        </is>
      </c>
    </row>
    <row r="600">
      <c r="A600" t="inlineStr">
        <is>
          <t>00</t>
        </is>
      </c>
    </row>
    <row r="601">
      <c r="A601" t="inlineStr">
        <is>
          <t>00</t>
        </is>
      </c>
    </row>
    <row r="602">
      <c r="A602" t="inlineStr">
        <is>
          <t>00</t>
        </is>
      </c>
    </row>
    <row r="603">
      <c r="A603" t="inlineStr">
        <is>
          <t>00</t>
        </is>
      </c>
    </row>
    <row r="604">
      <c r="A604" t="inlineStr">
        <is>
          <t>00</t>
        </is>
      </c>
    </row>
    <row r="605">
      <c r="A605" t="inlineStr">
        <is>
          <t>00</t>
        </is>
      </c>
    </row>
    <row r="606">
      <c r="A606" t="inlineStr">
        <is>
          <t>00</t>
        </is>
      </c>
    </row>
    <row r="607">
      <c r="A607" t="inlineStr">
        <is>
          <t>00</t>
        </is>
      </c>
    </row>
    <row r="608">
      <c r="A608" t="inlineStr">
        <is>
          <t>00</t>
        </is>
      </c>
    </row>
    <row r="609">
      <c r="A609" t="inlineStr">
        <is>
          <t>00</t>
        </is>
      </c>
    </row>
    <row r="610">
      <c r="A610" t="inlineStr">
        <is>
          <t>00</t>
        </is>
      </c>
    </row>
    <row r="611">
      <c r="A611" t="inlineStr">
        <is>
          <t>00</t>
        </is>
      </c>
    </row>
    <row r="612">
      <c r="A612" t="inlineStr">
        <is>
          <t>00</t>
        </is>
      </c>
    </row>
    <row r="613">
      <c r="A613" t="inlineStr">
        <is>
          <t>00</t>
        </is>
      </c>
    </row>
    <row r="614">
      <c r="A614" t="inlineStr">
        <is>
          <t>00</t>
        </is>
      </c>
    </row>
    <row r="615">
      <c r="A615" t="inlineStr">
        <is>
          <t>00</t>
        </is>
      </c>
    </row>
    <row r="616">
      <c r="A616" t="inlineStr">
        <is>
          <t>00</t>
        </is>
      </c>
    </row>
    <row r="617">
      <c r="A617" t="inlineStr">
        <is>
          <t>00</t>
        </is>
      </c>
    </row>
    <row r="618">
      <c r="A618" t="inlineStr">
        <is>
          <t>00</t>
        </is>
      </c>
    </row>
    <row r="619">
      <c r="A619" t="inlineStr">
        <is>
          <t>00</t>
        </is>
      </c>
    </row>
    <row r="620">
      <c r="A620" t="inlineStr">
        <is>
          <t>00</t>
        </is>
      </c>
    </row>
    <row r="621">
      <c r="A621" t="inlineStr">
        <is>
          <t>00</t>
        </is>
      </c>
    </row>
    <row r="622">
      <c r="A622" t="inlineStr">
        <is>
          <t>00</t>
        </is>
      </c>
    </row>
    <row r="623">
      <c r="A623" t="inlineStr">
        <is>
          <t>00</t>
        </is>
      </c>
    </row>
    <row r="624">
      <c r="A624" t="inlineStr">
        <is>
          <t>00</t>
        </is>
      </c>
    </row>
    <row r="625">
      <c r="A625" t="inlineStr">
        <is>
          <t>00</t>
        </is>
      </c>
    </row>
    <row r="626">
      <c r="A626" t="inlineStr">
        <is>
          <t>00</t>
        </is>
      </c>
    </row>
    <row r="627">
      <c r="A627" t="inlineStr">
        <is>
          <t>00</t>
        </is>
      </c>
    </row>
    <row r="628">
      <c r="A628" t="inlineStr">
        <is>
          <t>00</t>
        </is>
      </c>
    </row>
    <row r="629">
      <c r="A629" t="inlineStr">
        <is>
          <t>00</t>
        </is>
      </c>
    </row>
    <row r="630">
      <c r="A630" t="inlineStr">
        <is>
          <t>00</t>
        </is>
      </c>
    </row>
    <row r="631">
      <c r="A631" t="inlineStr">
        <is>
          <t>00</t>
        </is>
      </c>
    </row>
    <row r="632">
      <c r="A632" t="inlineStr">
        <is>
          <t>00</t>
        </is>
      </c>
    </row>
    <row r="633">
      <c r="A633" t="inlineStr">
        <is>
          <t>00</t>
        </is>
      </c>
    </row>
    <row r="634">
      <c r="A634" t="inlineStr">
        <is>
          <t>00</t>
        </is>
      </c>
    </row>
    <row r="635">
      <c r="A635" t="inlineStr">
        <is>
          <t>00</t>
        </is>
      </c>
    </row>
    <row r="636">
      <c r="A636" t="inlineStr">
        <is>
          <t>00</t>
        </is>
      </c>
    </row>
    <row r="637">
      <c r="A637" t="inlineStr">
        <is>
          <t>00</t>
        </is>
      </c>
    </row>
    <row r="638">
      <c r="A638" t="inlineStr">
        <is>
          <t>00</t>
        </is>
      </c>
    </row>
    <row r="639">
      <c r="A639" t="inlineStr">
        <is>
          <t>00</t>
        </is>
      </c>
    </row>
    <row r="640">
      <c r="A640" t="inlineStr">
        <is>
          <t>00</t>
        </is>
      </c>
    </row>
    <row r="641">
      <c r="A641" t="inlineStr">
        <is>
          <t>00</t>
        </is>
      </c>
    </row>
    <row r="642">
      <c r="A642" t="inlineStr">
        <is>
          <t>00</t>
        </is>
      </c>
    </row>
    <row r="643">
      <c r="A643" t="inlineStr">
        <is>
          <t>00</t>
        </is>
      </c>
    </row>
    <row r="644">
      <c r="A644" t="inlineStr">
        <is>
          <t>00</t>
        </is>
      </c>
    </row>
    <row r="645">
      <c r="A645" t="inlineStr">
        <is>
          <t>00</t>
        </is>
      </c>
    </row>
    <row r="646">
      <c r="A646" t="inlineStr">
        <is>
          <t>00</t>
        </is>
      </c>
    </row>
    <row r="647">
      <c r="A647" t="inlineStr">
        <is>
          <t>00</t>
        </is>
      </c>
    </row>
    <row r="648">
      <c r="A648" t="inlineStr">
        <is>
          <t>00</t>
        </is>
      </c>
    </row>
    <row r="649">
      <c r="A649" t="inlineStr">
        <is>
          <t>00</t>
        </is>
      </c>
    </row>
    <row r="650">
      <c r="A650" t="inlineStr">
        <is>
          <t>00</t>
        </is>
      </c>
    </row>
    <row r="651">
      <c r="A651" t="inlineStr">
        <is>
          <t>00</t>
        </is>
      </c>
    </row>
    <row r="652">
      <c r="A652" t="inlineStr">
        <is>
          <t>00</t>
        </is>
      </c>
    </row>
    <row r="653">
      <c r="A653" t="inlineStr">
        <is>
          <t>00</t>
        </is>
      </c>
    </row>
    <row r="654">
      <c r="A654" t="inlineStr">
        <is>
          <t>00</t>
        </is>
      </c>
    </row>
    <row r="655">
      <c r="A655" t="inlineStr">
        <is>
          <t>00</t>
        </is>
      </c>
    </row>
    <row r="656">
      <c r="A656" t="inlineStr">
        <is>
          <t>00</t>
        </is>
      </c>
    </row>
    <row r="657">
      <c r="A657" t="inlineStr">
        <is>
          <t>00</t>
        </is>
      </c>
    </row>
    <row r="658">
      <c r="A658" t="inlineStr">
        <is>
          <t>00</t>
        </is>
      </c>
    </row>
    <row r="659">
      <c r="A659" t="inlineStr">
        <is>
          <t>00</t>
        </is>
      </c>
    </row>
    <row r="660">
      <c r="A660" t="inlineStr">
        <is>
          <t>00</t>
        </is>
      </c>
    </row>
    <row r="661">
      <c r="A661" t="inlineStr">
        <is>
          <t>00</t>
        </is>
      </c>
    </row>
    <row r="662">
      <c r="A662" t="inlineStr">
        <is>
          <t>00</t>
        </is>
      </c>
    </row>
    <row r="663">
      <c r="A663" t="inlineStr">
        <is>
          <t>00</t>
        </is>
      </c>
    </row>
    <row r="664">
      <c r="A664" t="inlineStr">
        <is>
          <t>00</t>
        </is>
      </c>
    </row>
    <row r="665">
      <c r="A665" t="inlineStr">
        <is>
          <t>00</t>
        </is>
      </c>
    </row>
    <row r="666">
      <c r="A666" t="inlineStr">
        <is>
          <t>00</t>
        </is>
      </c>
    </row>
    <row r="667">
      <c r="A667" t="inlineStr">
        <is>
          <t>00</t>
        </is>
      </c>
    </row>
    <row r="668">
      <c r="A668" t="inlineStr">
        <is>
          <t>00</t>
        </is>
      </c>
    </row>
    <row r="669">
      <c r="A669" t="inlineStr">
        <is>
          <t>00</t>
        </is>
      </c>
    </row>
    <row r="670">
      <c r="A670" t="inlineStr">
        <is>
          <t>00</t>
        </is>
      </c>
    </row>
    <row r="671">
      <c r="A671" t="inlineStr">
        <is>
          <t>00</t>
        </is>
      </c>
    </row>
    <row r="672">
      <c r="A672" t="inlineStr">
        <is>
          <t>00</t>
        </is>
      </c>
    </row>
    <row r="673">
      <c r="A673" t="inlineStr">
        <is>
          <t>00</t>
        </is>
      </c>
    </row>
    <row r="674">
      <c r="A674" t="inlineStr">
        <is>
          <t>00</t>
        </is>
      </c>
    </row>
    <row r="675">
      <c r="A675" t="inlineStr">
        <is>
          <t>00</t>
        </is>
      </c>
    </row>
    <row r="676">
      <c r="A676" t="inlineStr">
        <is>
          <t>00</t>
        </is>
      </c>
    </row>
    <row r="677">
      <c r="A677" t="inlineStr">
        <is>
          <t>00</t>
        </is>
      </c>
    </row>
    <row r="678">
      <c r="A678" t="inlineStr">
        <is>
          <t>00</t>
        </is>
      </c>
    </row>
    <row r="679">
      <c r="A679" t="inlineStr">
        <is>
          <t>00</t>
        </is>
      </c>
    </row>
    <row r="680">
      <c r="A680" t="inlineStr">
        <is>
          <t>00</t>
        </is>
      </c>
    </row>
    <row r="681">
      <c r="A681" t="inlineStr">
        <is>
          <t>00</t>
        </is>
      </c>
    </row>
    <row r="682">
      <c r="A682" t="inlineStr">
        <is>
          <t>00</t>
        </is>
      </c>
    </row>
    <row r="683">
      <c r="A683" t="inlineStr">
        <is>
          <t>00</t>
        </is>
      </c>
    </row>
    <row r="684">
      <c r="A684" t="inlineStr">
        <is>
          <t>00</t>
        </is>
      </c>
    </row>
    <row r="685">
      <c r="A685" t="inlineStr">
        <is>
          <t>00</t>
        </is>
      </c>
    </row>
    <row r="686">
      <c r="A686" t="inlineStr">
        <is>
          <t>00</t>
        </is>
      </c>
    </row>
    <row r="687">
      <c r="A687" t="inlineStr">
        <is>
          <t>00</t>
        </is>
      </c>
    </row>
    <row r="688">
      <c r="A688" t="inlineStr">
        <is>
          <t>00</t>
        </is>
      </c>
    </row>
    <row r="689">
      <c r="A689" t="inlineStr">
        <is>
          <t>00</t>
        </is>
      </c>
    </row>
    <row r="690">
      <c r="A690" t="inlineStr">
        <is>
          <t>00</t>
        </is>
      </c>
    </row>
    <row r="691">
      <c r="A691" t="inlineStr">
        <is>
          <t>00</t>
        </is>
      </c>
    </row>
    <row r="692">
      <c r="A692" t="inlineStr">
        <is>
          <t>00</t>
        </is>
      </c>
    </row>
    <row r="693">
      <c r="A693" t="inlineStr">
        <is>
          <t>00</t>
        </is>
      </c>
    </row>
    <row r="694">
      <c r="A694" t="inlineStr">
        <is>
          <t>00</t>
        </is>
      </c>
    </row>
    <row r="695">
      <c r="A695" t="inlineStr">
        <is>
          <t>00</t>
        </is>
      </c>
    </row>
    <row r="696">
      <c r="A696" t="inlineStr">
        <is>
          <t>00</t>
        </is>
      </c>
    </row>
    <row r="697">
      <c r="A697" t="inlineStr">
        <is>
          <t>00</t>
        </is>
      </c>
    </row>
    <row r="698">
      <c r="A698" t="inlineStr">
        <is>
          <t>00</t>
        </is>
      </c>
    </row>
    <row r="699">
      <c r="A699" t="inlineStr">
        <is>
          <t>00</t>
        </is>
      </c>
    </row>
    <row r="700">
      <c r="A700" t="inlineStr">
        <is>
          <t>00</t>
        </is>
      </c>
    </row>
    <row r="701">
      <c r="A701" t="inlineStr">
        <is>
          <t>00</t>
        </is>
      </c>
    </row>
    <row r="702">
      <c r="A702" t="inlineStr">
        <is>
          <t>00</t>
        </is>
      </c>
    </row>
    <row r="703">
      <c r="A703" t="inlineStr">
        <is>
          <t>00</t>
        </is>
      </c>
    </row>
    <row r="704">
      <c r="A704" t="inlineStr">
        <is>
          <t>00</t>
        </is>
      </c>
    </row>
    <row r="705">
      <c r="A705" t="inlineStr">
        <is>
          <t>00</t>
        </is>
      </c>
    </row>
    <row r="706">
      <c r="A706" t="inlineStr">
        <is>
          <t>00</t>
        </is>
      </c>
    </row>
    <row r="707">
      <c r="A707" t="inlineStr">
        <is>
          <t>00</t>
        </is>
      </c>
    </row>
    <row r="708">
      <c r="A708" t="inlineStr">
        <is>
          <t>00</t>
        </is>
      </c>
    </row>
    <row r="709">
      <c r="A709" t="inlineStr">
        <is>
          <t>00</t>
        </is>
      </c>
    </row>
    <row r="710">
      <c r="A710" t="inlineStr">
        <is>
          <t>00</t>
        </is>
      </c>
    </row>
    <row r="711">
      <c r="A711" t="inlineStr">
        <is>
          <t>00</t>
        </is>
      </c>
    </row>
    <row r="712">
      <c r="A712" t="inlineStr">
        <is>
          <t>00</t>
        </is>
      </c>
    </row>
    <row r="713">
      <c r="A713" t="inlineStr">
        <is>
          <t>00</t>
        </is>
      </c>
    </row>
    <row r="714">
      <c r="A714" t="inlineStr">
        <is>
          <t>00</t>
        </is>
      </c>
    </row>
    <row r="715">
      <c r="A715" t="inlineStr">
        <is>
          <t>00</t>
        </is>
      </c>
    </row>
    <row r="716">
      <c r="A716" t="inlineStr">
        <is>
          <t>00</t>
        </is>
      </c>
    </row>
    <row r="717">
      <c r="A717" t="inlineStr">
        <is>
          <t>00</t>
        </is>
      </c>
    </row>
    <row r="718">
      <c r="A718" t="inlineStr">
        <is>
          <t>00</t>
        </is>
      </c>
    </row>
    <row r="719">
      <c r="A719" t="inlineStr">
        <is>
          <t>00</t>
        </is>
      </c>
    </row>
    <row r="720">
      <c r="A720" t="inlineStr">
        <is>
          <t>00</t>
        </is>
      </c>
    </row>
    <row r="721">
      <c r="A721" t="inlineStr">
        <is>
          <t>00</t>
        </is>
      </c>
    </row>
    <row r="722">
      <c r="A722" t="inlineStr">
        <is>
          <t>00</t>
        </is>
      </c>
    </row>
    <row r="723">
      <c r="A723" t="inlineStr">
        <is>
          <t>00</t>
        </is>
      </c>
    </row>
    <row r="724">
      <c r="A724" t="inlineStr">
        <is>
          <t>00</t>
        </is>
      </c>
    </row>
    <row r="725">
      <c r="A725" t="inlineStr">
        <is>
          <t>00</t>
        </is>
      </c>
    </row>
    <row r="726">
      <c r="A726" t="inlineStr">
        <is>
          <t>00</t>
        </is>
      </c>
    </row>
    <row r="727">
      <c r="A727" t="inlineStr">
        <is>
          <t>00</t>
        </is>
      </c>
    </row>
    <row r="728">
      <c r="A728" t="inlineStr">
        <is>
          <t>00</t>
        </is>
      </c>
    </row>
    <row r="729">
      <c r="A729" t="inlineStr">
        <is>
          <t>00</t>
        </is>
      </c>
    </row>
    <row r="730">
      <c r="A730" t="inlineStr">
        <is>
          <t>00</t>
        </is>
      </c>
    </row>
    <row r="731">
      <c r="A731" t="inlineStr">
        <is>
          <t>00</t>
        </is>
      </c>
    </row>
    <row r="732">
      <c r="A732" t="inlineStr">
        <is>
          <t>00</t>
        </is>
      </c>
    </row>
    <row r="733">
      <c r="A733" t="inlineStr">
        <is>
          <t>00</t>
        </is>
      </c>
    </row>
    <row r="734">
      <c r="A734" t="inlineStr">
        <is>
          <t>00</t>
        </is>
      </c>
    </row>
    <row r="735">
      <c r="A735" t="inlineStr">
        <is>
          <t>00</t>
        </is>
      </c>
    </row>
    <row r="736">
      <c r="A736" t="inlineStr">
        <is>
          <t>00</t>
        </is>
      </c>
    </row>
    <row r="737">
      <c r="A737" t="inlineStr">
        <is>
          <t>00</t>
        </is>
      </c>
    </row>
    <row r="738">
      <c r="A738" t="inlineStr">
        <is>
          <t>00</t>
        </is>
      </c>
    </row>
    <row r="739">
      <c r="A739" t="inlineStr">
        <is>
          <t>00</t>
        </is>
      </c>
    </row>
    <row r="740">
      <c r="A740" t="inlineStr">
        <is>
          <t>00</t>
        </is>
      </c>
    </row>
    <row r="741">
      <c r="A741" t="inlineStr">
        <is>
          <t>00</t>
        </is>
      </c>
    </row>
    <row r="742">
      <c r="A742" t="inlineStr">
        <is>
          <t>00</t>
        </is>
      </c>
    </row>
    <row r="743">
      <c r="A743" t="inlineStr">
        <is>
          <t>00</t>
        </is>
      </c>
    </row>
    <row r="744">
      <c r="A744" t="inlineStr">
        <is>
          <t>00</t>
        </is>
      </c>
    </row>
    <row r="745">
      <c r="A745" t="inlineStr">
        <is>
          <t>00</t>
        </is>
      </c>
    </row>
    <row r="746">
      <c r="A746" t="inlineStr">
        <is>
          <t>00</t>
        </is>
      </c>
    </row>
    <row r="747">
      <c r="A747" t="inlineStr">
        <is>
          <t>00</t>
        </is>
      </c>
    </row>
    <row r="748">
      <c r="A748" t="inlineStr">
        <is>
          <t>00</t>
        </is>
      </c>
    </row>
    <row r="749">
      <c r="A749" t="inlineStr">
        <is>
          <t>00</t>
        </is>
      </c>
    </row>
    <row r="750">
      <c r="A750" t="inlineStr">
        <is>
          <t>00</t>
        </is>
      </c>
    </row>
    <row r="751">
      <c r="A751" t="inlineStr">
        <is>
          <t>00</t>
        </is>
      </c>
    </row>
    <row r="752">
      <c r="A752" t="inlineStr">
        <is>
          <t>00</t>
        </is>
      </c>
    </row>
    <row r="753">
      <c r="A753" t="inlineStr">
        <is>
          <t>00</t>
        </is>
      </c>
    </row>
    <row r="754">
      <c r="A754" t="inlineStr">
        <is>
          <t>00</t>
        </is>
      </c>
    </row>
    <row r="755">
      <c r="A755" t="inlineStr">
        <is>
          <t>00</t>
        </is>
      </c>
    </row>
    <row r="756">
      <c r="A756" t="inlineStr">
        <is>
          <t>00</t>
        </is>
      </c>
    </row>
    <row r="757">
      <c r="A757" t="inlineStr">
        <is>
          <t>00</t>
        </is>
      </c>
    </row>
    <row r="758">
      <c r="A758" t="inlineStr">
        <is>
          <t>00</t>
        </is>
      </c>
    </row>
    <row r="759">
      <c r="A759" t="inlineStr">
        <is>
          <t>00</t>
        </is>
      </c>
    </row>
    <row r="760">
      <c r="A760" t="inlineStr">
        <is>
          <t>00</t>
        </is>
      </c>
    </row>
    <row r="761">
      <c r="A761" t="inlineStr">
        <is>
          <t>00</t>
        </is>
      </c>
    </row>
    <row r="762">
      <c r="A762" t="inlineStr">
        <is>
          <t>00</t>
        </is>
      </c>
    </row>
    <row r="763">
      <c r="A763" t="inlineStr">
        <is>
          <t>00</t>
        </is>
      </c>
    </row>
    <row r="764">
      <c r="A764" t="inlineStr">
        <is>
          <t>00</t>
        </is>
      </c>
    </row>
    <row r="765">
      <c r="A765" t="inlineStr">
        <is>
          <t>00</t>
        </is>
      </c>
    </row>
    <row r="766">
      <c r="A766" t="inlineStr">
        <is>
          <t>00</t>
        </is>
      </c>
    </row>
    <row r="767">
      <c r="A767" t="inlineStr">
        <is>
          <t>00</t>
        </is>
      </c>
    </row>
    <row r="768">
      <c r="A768" t="inlineStr">
        <is>
          <t>00</t>
        </is>
      </c>
    </row>
    <row r="769">
      <c r="A769" t="inlineStr">
        <is>
          <t>00</t>
        </is>
      </c>
    </row>
    <row r="770">
      <c r="A770" t="inlineStr">
        <is>
          <t>00</t>
        </is>
      </c>
    </row>
    <row r="771">
      <c r="A771" t="inlineStr">
        <is>
          <t>00</t>
        </is>
      </c>
    </row>
    <row r="772">
      <c r="A772" t="inlineStr">
        <is>
          <t>00</t>
        </is>
      </c>
    </row>
    <row r="773">
      <c r="A773" t="inlineStr">
        <is>
          <t>00</t>
        </is>
      </c>
    </row>
    <row r="774">
      <c r="A774" t="inlineStr">
        <is>
          <t>00</t>
        </is>
      </c>
    </row>
    <row r="775">
      <c r="A775" t="inlineStr">
        <is>
          <t>00</t>
        </is>
      </c>
    </row>
    <row r="776">
      <c r="A776" t="inlineStr">
        <is>
          <t>00</t>
        </is>
      </c>
    </row>
    <row r="777">
      <c r="A777" t="inlineStr">
        <is>
          <t>00</t>
        </is>
      </c>
    </row>
    <row r="778">
      <c r="A778" t="inlineStr">
        <is>
          <t>00</t>
        </is>
      </c>
    </row>
    <row r="779">
      <c r="A779" t="inlineStr">
        <is>
          <t>00</t>
        </is>
      </c>
    </row>
    <row r="780">
      <c r="A780" t="inlineStr">
        <is>
          <t>00</t>
        </is>
      </c>
    </row>
    <row r="781">
      <c r="A781" t="inlineStr">
        <is>
          <t>00</t>
        </is>
      </c>
    </row>
    <row r="782">
      <c r="A782" t="inlineStr">
        <is>
          <t>00</t>
        </is>
      </c>
    </row>
    <row r="783">
      <c r="A783" t="inlineStr">
        <is>
          <t>00</t>
        </is>
      </c>
    </row>
    <row r="784">
      <c r="A784" t="inlineStr">
        <is>
          <t>00</t>
        </is>
      </c>
    </row>
    <row r="785">
      <c r="A785" t="inlineStr">
        <is>
          <t>00</t>
        </is>
      </c>
    </row>
    <row r="786">
      <c r="A786" t="inlineStr">
        <is>
          <t>00</t>
        </is>
      </c>
    </row>
    <row r="787">
      <c r="A787" t="inlineStr">
        <is>
          <t>00</t>
        </is>
      </c>
    </row>
    <row r="788">
      <c r="A788" t="inlineStr">
        <is>
          <t>00</t>
        </is>
      </c>
    </row>
    <row r="789">
      <c r="A789" t="inlineStr">
        <is>
          <t>00</t>
        </is>
      </c>
    </row>
    <row r="790">
      <c r="A790" t="inlineStr">
        <is>
          <t>00</t>
        </is>
      </c>
    </row>
    <row r="791">
      <c r="A791" t="inlineStr">
        <is>
          <t>00</t>
        </is>
      </c>
    </row>
    <row r="792">
      <c r="A792" t="inlineStr">
        <is>
          <t>00</t>
        </is>
      </c>
    </row>
    <row r="793">
      <c r="A793" t="inlineStr">
        <is>
          <t>00</t>
        </is>
      </c>
    </row>
    <row r="794">
      <c r="A794" t="inlineStr">
        <is>
          <t>00</t>
        </is>
      </c>
    </row>
    <row r="795">
      <c r="A795" t="inlineStr">
        <is>
          <t>00</t>
        </is>
      </c>
    </row>
    <row r="796">
      <c r="A796" t="inlineStr">
        <is>
          <t>00</t>
        </is>
      </c>
    </row>
    <row r="797">
      <c r="A797" t="inlineStr">
        <is>
          <t>00</t>
        </is>
      </c>
    </row>
    <row r="798">
      <c r="A798" t="inlineStr">
        <is>
          <t>00</t>
        </is>
      </c>
    </row>
    <row r="799">
      <c r="A799" t="inlineStr">
        <is>
          <t>00</t>
        </is>
      </c>
    </row>
    <row r="800">
      <c r="A800" t="inlineStr">
        <is>
          <t>00</t>
        </is>
      </c>
    </row>
    <row r="801">
      <c r="A801" t="inlineStr">
        <is>
          <t>00</t>
        </is>
      </c>
    </row>
    <row r="802">
      <c r="A802" t="inlineStr">
        <is>
          <t>00</t>
        </is>
      </c>
    </row>
    <row r="803">
      <c r="A803" t="inlineStr">
        <is>
          <t>00</t>
        </is>
      </c>
    </row>
    <row r="804">
      <c r="A804" t="inlineStr">
        <is>
          <t>00</t>
        </is>
      </c>
    </row>
    <row r="805">
      <c r="A805" t="inlineStr">
        <is>
          <t>00</t>
        </is>
      </c>
    </row>
    <row r="806">
      <c r="A806" t="inlineStr">
        <is>
          <t>00</t>
        </is>
      </c>
    </row>
    <row r="807">
      <c r="A807" t="inlineStr">
        <is>
          <t>00</t>
        </is>
      </c>
    </row>
    <row r="808">
      <c r="A808" t="inlineStr">
        <is>
          <t>00</t>
        </is>
      </c>
    </row>
    <row r="809">
      <c r="A809" t="inlineStr">
        <is>
          <t>00</t>
        </is>
      </c>
    </row>
    <row r="810">
      <c r="A810" t="inlineStr">
        <is>
          <t>00</t>
        </is>
      </c>
    </row>
    <row r="811">
      <c r="A811" t="inlineStr">
        <is>
          <t>00</t>
        </is>
      </c>
    </row>
    <row r="812">
      <c r="A812" t="inlineStr">
        <is>
          <t>00</t>
        </is>
      </c>
    </row>
    <row r="813">
      <c r="A813" t="inlineStr">
        <is>
          <t>00</t>
        </is>
      </c>
    </row>
    <row r="814">
      <c r="A814" t="inlineStr">
        <is>
          <t>00</t>
        </is>
      </c>
    </row>
    <row r="815">
      <c r="A815" t="inlineStr">
        <is>
          <t>00</t>
        </is>
      </c>
    </row>
    <row r="816">
      <c r="A816" t="inlineStr">
        <is>
          <t>00</t>
        </is>
      </c>
    </row>
    <row r="817">
      <c r="A817" t="inlineStr">
        <is>
          <t>00</t>
        </is>
      </c>
    </row>
    <row r="818">
      <c r="A818" t="inlineStr">
        <is>
          <t>00</t>
        </is>
      </c>
    </row>
    <row r="819">
      <c r="A819" t="inlineStr">
        <is>
          <t>00</t>
        </is>
      </c>
    </row>
    <row r="820">
      <c r="A820" t="inlineStr">
        <is>
          <t>00</t>
        </is>
      </c>
    </row>
    <row r="821">
      <c r="A821" t="inlineStr">
        <is>
          <t>00</t>
        </is>
      </c>
    </row>
    <row r="822">
      <c r="A822" t="inlineStr">
        <is>
          <t>00</t>
        </is>
      </c>
    </row>
    <row r="823">
      <c r="A823" t="inlineStr">
        <is>
          <t>00</t>
        </is>
      </c>
    </row>
    <row r="824">
      <c r="A824" t="inlineStr">
        <is>
          <t>00</t>
        </is>
      </c>
    </row>
    <row r="825">
      <c r="A825" t="inlineStr">
        <is>
          <t>00</t>
        </is>
      </c>
    </row>
    <row r="826">
      <c r="A826" t="inlineStr">
        <is>
          <t>00</t>
        </is>
      </c>
    </row>
    <row r="827">
      <c r="A827" t="inlineStr">
        <is>
          <t>00</t>
        </is>
      </c>
    </row>
    <row r="828">
      <c r="A828" t="inlineStr">
        <is>
          <t>00</t>
        </is>
      </c>
    </row>
    <row r="829">
      <c r="A829" t="inlineStr">
        <is>
          <t>00</t>
        </is>
      </c>
    </row>
    <row r="830">
      <c r="A830" t="inlineStr">
        <is>
          <t>00</t>
        </is>
      </c>
    </row>
    <row r="831">
      <c r="A831" t="inlineStr">
        <is>
          <t>00</t>
        </is>
      </c>
    </row>
    <row r="832">
      <c r="A832" t="inlineStr">
        <is>
          <t>00</t>
        </is>
      </c>
    </row>
    <row r="833">
      <c r="A833" t="inlineStr">
        <is>
          <t>00</t>
        </is>
      </c>
    </row>
    <row r="834">
      <c r="A834" t="inlineStr">
        <is>
          <t>00</t>
        </is>
      </c>
    </row>
    <row r="835">
      <c r="A835" t="inlineStr">
        <is>
          <t>00</t>
        </is>
      </c>
    </row>
    <row r="836">
      <c r="A836" t="inlineStr">
        <is>
          <t>00</t>
        </is>
      </c>
    </row>
    <row r="837">
      <c r="A837" t="inlineStr">
        <is>
          <t>00</t>
        </is>
      </c>
    </row>
    <row r="838">
      <c r="A838" t="inlineStr">
        <is>
          <t>00</t>
        </is>
      </c>
    </row>
    <row r="839">
      <c r="A839" t="inlineStr">
        <is>
          <t>00</t>
        </is>
      </c>
    </row>
    <row r="840">
      <c r="A840" t="inlineStr">
        <is>
          <t>00</t>
        </is>
      </c>
    </row>
    <row r="841">
      <c r="A841" t="inlineStr">
        <is>
          <t>00</t>
        </is>
      </c>
    </row>
    <row r="842">
      <c r="A842" t="inlineStr">
        <is>
          <t>00</t>
        </is>
      </c>
    </row>
    <row r="843">
      <c r="A843" t="inlineStr">
        <is>
          <t>00</t>
        </is>
      </c>
    </row>
    <row r="844">
      <c r="A844" t="inlineStr">
        <is>
          <t>00</t>
        </is>
      </c>
    </row>
    <row r="845">
      <c r="A845" t="inlineStr">
        <is>
          <t>00</t>
        </is>
      </c>
    </row>
    <row r="846">
      <c r="A846" t="inlineStr">
        <is>
          <t>00</t>
        </is>
      </c>
    </row>
    <row r="847">
      <c r="A847" t="inlineStr">
        <is>
          <t>00</t>
        </is>
      </c>
    </row>
    <row r="848">
      <c r="A848" t="inlineStr">
        <is>
          <t>00</t>
        </is>
      </c>
    </row>
    <row r="849">
      <c r="A849" t="inlineStr">
        <is>
          <t>00</t>
        </is>
      </c>
    </row>
    <row r="850">
      <c r="A850" t="inlineStr">
        <is>
          <t>00</t>
        </is>
      </c>
    </row>
    <row r="851">
      <c r="A851" t="inlineStr">
        <is>
          <t>00</t>
        </is>
      </c>
    </row>
    <row r="852">
      <c r="A852" t="inlineStr">
        <is>
          <t>00</t>
        </is>
      </c>
    </row>
    <row r="853">
      <c r="A853" t="inlineStr">
        <is>
          <t>00</t>
        </is>
      </c>
    </row>
    <row r="854">
      <c r="A854" t="inlineStr">
        <is>
          <t>00</t>
        </is>
      </c>
    </row>
    <row r="855">
      <c r="A855" t="inlineStr">
        <is>
          <t>00</t>
        </is>
      </c>
    </row>
    <row r="856">
      <c r="A856" t="inlineStr">
        <is>
          <t>00</t>
        </is>
      </c>
    </row>
    <row r="857">
      <c r="A857" t="inlineStr">
        <is>
          <t>00</t>
        </is>
      </c>
    </row>
    <row r="858">
      <c r="A858" t="inlineStr">
        <is>
          <t>00</t>
        </is>
      </c>
    </row>
    <row r="859">
      <c r="A859" t="inlineStr">
        <is>
          <t>00</t>
        </is>
      </c>
    </row>
    <row r="860">
      <c r="A860" t="inlineStr">
        <is>
          <t>00</t>
        </is>
      </c>
    </row>
    <row r="861">
      <c r="A861" t="inlineStr">
        <is>
          <t>00</t>
        </is>
      </c>
    </row>
    <row r="862">
      <c r="A862" t="inlineStr">
        <is>
          <t>00</t>
        </is>
      </c>
    </row>
    <row r="863">
      <c r="A863" t="inlineStr">
        <is>
          <t>00</t>
        </is>
      </c>
    </row>
    <row r="864">
      <c r="A864" t="inlineStr">
        <is>
          <t>00</t>
        </is>
      </c>
    </row>
    <row r="865">
      <c r="A865" t="inlineStr">
        <is>
          <t>00</t>
        </is>
      </c>
    </row>
    <row r="866">
      <c r="A866" t="inlineStr">
        <is>
          <t>00</t>
        </is>
      </c>
    </row>
    <row r="867">
      <c r="A867" t="inlineStr">
        <is>
          <t>00</t>
        </is>
      </c>
    </row>
    <row r="868">
      <c r="A868" t="inlineStr">
        <is>
          <t>00</t>
        </is>
      </c>
    </row>
    <row r="869">
      <c r="A869" t="inlineStr">
        <is>
          <t>00</t>
        </is>
      </c>
    </row>
    <row r="870">
      <c r="A870" t="inlineStr">
        <is>
          <t>00</t>
        </is>
      </c>
    </row>
    <row r="871">
      <c r="A871" t="inlineStr">
        <is>
          <t>00</t>
        </is>
      </c>
    </row>
    <row r="872">
      <c r="A872" t="inlineStr">
        <is>
          <t>00</t>
        </is>
      </c>
    </row>
    <row r="873">
      <c r="A873" t="inlineStr">
        <is>
          <t>00</t>
        </is>
      </c>
    </row>
    <row r="874">
      <c r="A874" t="inlineStr">
        <is>
          <t>00</t>
        </is>
      </c>
    </row>
    <row r="875">
      <c r="A875" t="inlineStr">
        <is>
          <t>00</t>
        </is>
      </c>
    </row>
    <row r="876">
      <c r="A876" t="inlineStr">
        <is>
          <t>00</t>
        </is>
      </c>
    </row>
    <row r="877">
      <c r="A877" t="inlineStr">
        <is>
          <t>00</t>
        </is>
      </c>
    </row>
    <row r="878">
      <c r="A878" t="inlineStr">
        <is>
          <t>00</t>
        </is>
      </c>
    </row>
    <row r="879">
      <c r="A879" t="inlineStr">
        <is>
          <t>00</t>
        </is>
      </c>
    </row>
    <row r="880">
      <c r="A880" t="inlineStr">
        <is>
          <t>00</t>
        </is>
      </c>
    </row>
    <row r="881">
      <c r="A881" t="inlineStr">
        <is>
          <t>00</t>
        </is>
      </c>
    </row>
    <row r="882">
      <c r="A882" t="inlineStr">
        <is>
          <t>00</t>
        </is>
      </c>
    </row>
    <row r="883">
      <c r="A883" t="inlineStr">
        <is>
          <t>00</t>
        </is>
      </c>
    </row>
    <row r="884">
      <c r="A884" t="inlineStr">
        <is>
          <t>00</t>
        </is>
      </c>
    </row>
    <row r="885">
      <c r="A885" t="inlineStr">
        <is>
          <t>00</t>
        </is>
      </c>
    </row>
    <row r="886">
      <c r="A886" t="inlineStr">
        <is>
          <t>00</t>
        </is>
      </c>
    </row>
    <row r="887">
      <c r="A887" t="inlineStr">
        <is>
          <t>00</t>
        </is>
      </c>
    </row>
    <row r="888">
      <c r="A888" t="inlineStr">
        <is>
          <t>00</t>
        </is>
      </c>
    </row>
    <row r="889">
      <c r="A889" t="inlineStr">
        <is>
          <t>00</t>
        </is>
      </c>
    </row>
    <row r="890">
      <c r="A890" t="inlineStr">
        <is>
          <t>00</t>
        </is>
      </c>
    </row>
    <row r="891">
      <c r="A891" t="inlineStr">
        <is>
          <t>00</t>
        </is>
      </c>
    </row>
    <row r="892">
      <c r="A892" t="inlineStr">
        <is>
          <t>00</t>
        </is>
      </c>
    </row>
    <row r="893">
      <c r="A893" t="inlineStr">
        <is>
          <t>00</t>
        </is>
      </c>
    </row>
    <row r="894">
      <c r="A894" t="inlineStr">
        <is>
          <t>00</t>
        </is>
      </c>
    </row>
    <row r="895">
      <c r="A895" t="inlineStr">
        <is>
          <t>00</t>
        </is>
      </c>
    </row>
    <row r="896">
      <c r="A896" t="inlineStr">
        <is>
          <t>00</t>
        </is>
      </c>
    </row>
    <row r="897">
      <c r="A897" t="inlineStr">
        <is>
          <t>00</t>
        </is>
      </c>
    </row>
    <row r="898">
      <c r="A898" t="inlineStr">
        <is>
          <t>00</t>
        </is>
      </c>
    </row>
    <row r="899">
      <c r="A899" t="inlineStr">
        <is>
          <t>00</t>
        </is>
      </c>
    </row>
    <row r="900">
      <c r="A900" t="inlineStr">
        <is>
          <t>00</t>
        </is>
      </c>
    </row>
    <row r="901">
      <c r="A901" t="inlineStr">
        <is>
          <t>00</t>
        </is>
      </c>
    </row>
    <row r="902">
      <c r="A902" t="inlineStr">
        <is>
          <t>00</t>
        </is>
      </c>
    </row>
    <row r="903">
      <c r="A903" t="inlineStr">
        <is>
          <t>00</t>
        </is>
      </c>
    </row>
    <row r="904">
      <c r="A904" t="inlineStr">
        <is>
          <t>00</t>
        </is>
      </c>
    </row>
    <row r="905">
      <c r="A905" t="inlineStr">
        <is>
          <t>00</t>
        </is>
      </c>
    </row>
    <row r="906">
      <c r="A906" t="inlineStr">
        <is>
          <t>00</t>
        </is>
      </c>
    </row>
    <row r="907">
      <c r="A907" t="inlineStr">
        <is>
          <t>00</t>
        </is>
      </c>
    </row>
    <row r="908">
      <c r="A908" t="inlineStr">
        <is>
          <t>00</t>
        </is>
      </c>
    </row>
    <row r="909">
      <c r="A909" t="inlineStr">
        <is>
          <t>00</t>
        </is>
      </c>
    </row>
    <row r="910">
      <c r="A910" t="inlineStr">
        <is>
          <t>00</t>
        </is>
      </c>
    </row>
    <row r="911">
      <c r="A911" t="inlineStr">
        <is>
          <t>00</t>
        </is>
      </c>
    </row>
    <row r="912">
      <c r="A912" t="inlineStr">
        <is>
          <t>00</t>
        </is>
      </c>
    </row>
    <row r="913">
      <c r="A913" t="inlineStr">
        <is>
          <t>00</t>
        </is>
      </c>
    </row>
    <row r="914">
      <c r="A914" t="inlineStr">
        <is>
          <t>00</t>
        </is>
      </c>
    </row>
    <row r="915">
      <c r="A915" t="inlineStr">
        <is>
          <t>00</t>
        </is>
      </c>
    </row>
    <row r="916">
      <c r="A916" t="inlineStr">
        <is>
          <t>00</t>
        </is>
      </c>
    </row>
    <row r="917">
      <c r="A917" t="inlineStr">
        <is>
          <t>00</t>
        </is>
      </c>
    </row>
    <row r="918">
      <c r="A918" t="inlineStr">
        <is>
          <t>00</t>
        </is>
      </c>
    </row>
    <row r="919">
      <c r="A919" t="inlineStr">
        <is>
          <t>00</t>
        </is>
      </c>
    </row>
    <row r="920">
      <c r="A920" t="inlineStr">
        <is>
          <t>00</t>
        </is>
      </c>
    </row>
    <row r="921">
      <c r="A921" t="inlineStr">
        <is>
          <t>00</t>
        </is>
      </c>
    </row>
    <row r="922">
      <c r="A922" t="inlineStr">
        <is>
          <t>00</t>
        </is>
      </c>
    </row>
    <row r="923">
      <c r="A923" t="inlineStr">
        <is>
          <t>00</t>
        </is>
      </c>
    </row>
    <row r="924">
      <c r="A924" t="inlineStr">
        <is>
          <t>00</t>
        </is>
      </c>
    </row>
    <row r="925">
      <c r="A925" t="inlineStr">
        <is>
          <t>00</t>
        </is>
      </c>
    </row>
    <row r="926">
      <c r="A926" t="inlineStr">
        <is>
          <t>00</t>
        </is>
      </c>
    </row>
    <row r="927">
      <c r="A927" t="inlineStr">
        <is>
          <t>00</t>
        </is>
      </c>
    </row>
    <row r="928">
      <c r="A928" t="inlineStr">
        <is>
          <t>00</t>
        </is>
      </c>
    </row>
    <row r="929">
      <c r="A929" t="inlineStr">
        <is>
          <t>00</t>
        </is>
      </c>
    </row>
    <row r="930">
      <c r="A930" t="inlineStr">
        <is>
          <t>00</t>
        </is>
      </c>
    </row>
    <row r="931">
      <c r="A931" t="inlineStr">
        <is>
          <t>00</t>
        </is>
      </c>
    </row>
    <row r="932">
      <c r="A932" t="inlineStr">
        <is>
          <t>00</t>
        </is>
      </c>
    </row>
    <row r="933">
      <c r="A933" t="inlineStr">
        <is>
          <t>00</t>
        </is>
      </c>
    </row>
    <row r="934">
      <c r="A934" t="inlineStr">
        <is>
          <t>00</t>
        </is>
      </c>
    </row>
    <row r="935">
      <c r="A935" t="inlineStr">
        <is>
          <t>00</t>
        </is>
      </c>
    </row>
    <row r="936">
      <c r="A936" t="inlineStr">
        <is>
          <t>00</t>
        </is>
      </c>
    </row>
    <row r="937">
      <c r="A937" t="inlineStr">
        <is>
          <t>00</t>
        </is>
      </c>
    </row>
    <row r="938">
      <c r="A938" t="inlineStr">
        <is>
          <t>00</t>
        </is>
      </c>
    </row>
    <row r="939">
      <c r="A939" t="inlineStr">
        <is>
          <t>00</t>
        </is>
      </c>
    </row>
    <row r="940">
      <c r="A940" t="inlineStr">
        <is>
          <t>00</t>
        </is>
      </c>
    </row>
    <row r="941">
      <c r="A941" t="inlineStr">
        <is>
          <t>00</t>
        </is>
      </c>
    </row>
    <row r="942">
      <c r="A942" t="inlineStr">
        <is>
          <t>00</t>
        </is>
      </c>
    </row>
    <row r="943">
      <c r="A943" t="inlineStr">
        <is>
          <t>00</t>
        </is>
      </c>
    </row>
    <row r="944">
      <c r="A944" t="inlineStr">
        <is>
          <t>00</t>
        </is>
      </c>
    </row>
    <row r="945">
      <c r="A945" t="inlineStr">
        <is>
          <t>00</t>
        </is>
      </c>
    </row>
    <row r="946">
      <c r="A946" t="inlineStr">
        <is>
          <t>00</t>
        </is>
      </c>
    </row>
    <row r="947">
      <c r="A947" t="inlineStr">
        <is>
          <t>00</t>
        </is>
      </c>
    </row>
    <row r="948">
      <c r="A948" t="inlineStr">
        <is>
          <t>00</t>
        </is>
      </c>
    </row>
    <row r="949">
      <c r="A949" t="inlineStr">
        <is>
          <t>00</t>
        </is>
      </c>
    </row>
    <row r="950">
      <c r="A950" t="inlineStr">
        <is>
          <t>00</t>
        </is>
      </c>
    </row>
    <row r="951">
      <c r="A951" t="inlineStr">
        <is>
          <t>00</t>
        </is>
      </c>
    </row>
    <row r="952">
      <c r="A952" t="inlineStr">
        <is>
          <t>00</t>
        </is>
      </c>
    </row>
    <row r="953">
      <c r="A953" t="inlineStr">
        <is>
          <t>00</t>
        </is>
      </c>
    </row>
    <row r="954">
      <c r="A954" t="inlineStr">
        <is>
          <t>00</t>
        </is>
      </c>
    </row>
    <row r="955">
      <c r="A955" t="inlineStr">
        <is>
          <t>00</t>
        </is>
      </c>
    </row>
    <row r="956">
      <c r="A956" t="inlineStr">
        <is>
          <t>00</t>
        </is>
      </c>
    </row>
    <row r="957">
      <c r="A957" t="inlineStr">
        <is>
          <t>00</t>
        </is>
      </c>
    </row>
    <row r="958">
      <c r="A958" t="inlineStr">
        <is>
          <t>00</t>
        </is>
      </c>
    </row>
    <row r="959">
      <c r="A959" t="inlineStr">
        <is>
          <t>00</t>
        </is>
      </c>
    </row>
    <row r="960">
      <c r="A960" t="inlineStr">
        <is>
          <t>00</t>
        </is>
      </c>
    </row>
    <row r="961">
      <c r="A961" t="inlineStr">
        <is>
          <t>00</t>
        </is>
      </c>
    </row>
    <row r="962">
      <c r="A962" t="inlineStr">
        <is>
          <t>00</t>
        </is>
      </c>
    </row>
    <row r="963">
      <c r="A963" t="inlineStr">
        <is>
          <t>00</t>
        </is>
      </c>
    </row>
    <row r="964">
      <c r="A964" t="inlineStr">
        <is>
          <t>00</t>
        </is>
      </c>
    </row>
    <row r="965">
      <c r="A965" t="inlineStr">
        <is>
          <t>00</t>
        </is>
      </c>
    </row>
    <row r="966">
      <c r="A966" t="inlineStr">
        <is>
          <t>00</t>
        </is>
      </c>
    </row>
    <row r="967">
      <c r="A967" t="inlineStr">
        <is>
          <t>00</t>
        </is>
      </c>
    </row>
    <row r="968">
      <c r="A968" t="inlineStr">
        <is>
          <t>00</t>
        </is>
      </c>
    </row>
    <row r="969">
      <c r="A969" t="inlineStr">
        <is>
          <t>00</t>
        </is>
      </c>
    </row>
    <row r="970">
      <c r="A970" t="inlineStr">
        <is>
          <t>00</t>
        </is>
      </c>
    </row>
    <row r="971">
      <c r="A971" t="inlineStr">
        <is>
          <t>00</t>
        </is>
      </c>
    </row>
    <row r="972">
      <c r="A972" t="inlineStr">
        <is>
          <t>00</t>
        </is>
      </c>
    </row>
    <row r="973">
      <c r="A973" t="inlineStr">
        <is>
          <t>00</t>
        </is>
      </c>
    </row>
    <row r="974">
      <c r="A974" t="inlineStr">
        <is>
          <t>00</t>
        </is>
      </c>
    </row>
    <row r="975">
      <c r="A975" t="inlineStr">
        <is>
          <t>00</t>
        </is>
      </c>
    </row>
    <row r="976">
      <c r="A976" t="inlineStr">
        <is>
          <t>00</t>
        </is>
      </c>
    </row>
    <row r="977">
      <c r="A977" t="inlineStr">
        <is>
          <t>00</t>
        </is>
      </c>
    </row>
    <row r="978">
      <c r="A978" t="inlineStr">
        <is>
          <t>00</t>
        </is>
      </c>
    </row>
    <row r="979">
      <c r="A979" t="inlineStr">
        <is>
          <t>00</t>
        </is>
      </c>
    </row>
    <row r="980">
      <c r="A980" t="inlineStr">
        <is>
          <t>00</t>
        </is>
      </c>
    </row>
    <row r="981">
      <c r="A981" t="inlineStr">
        <is>
          <t>00</t>
        </is>
      </c>
    </row>
    <row r="982">
      <c r="A982" t="inlineStr">
        <is>
          <t>00</t>
        </is>
      </c>
    </row>
    <row r="983">
      <c r="A983" t="inlineStr">
        <is>
          <t>00</t>
        </is>
      </c>
    </row>
    <row r="984">
      <c r="A984" t="inlineStr">
        <is>
          <t>00</t>
        </is>
      </c>
    </row>
    <row r="985">
      <c r="A985" t="inlineStr">
        <is>
          <t>00</t>
        </is>
      </c>
    </row>
    <row r="986">
      <c r="A986" t="inlineStr">
        <is>
          <t>00</t>
        </is>
      </c>
    </row>
    <row r="987">
      <c r="A987" t="inlineStr">
        <is>
          <t>00</t>
        </is>
      </c>
    </row>
    <row r="988">
      <c r="A988" t="inlineStr">
        <is>
          <t>00</t>
        </is>
      </c>
    </row>
    <row r="989">
      <c r="A989" t="inlineStr">
        <is>
          <t>00</t>
        </is>
      </c>
    </row>
    <row r="990">
      <c r="A990" t="inlineStr">
        <is>
          <t>00</t>
        </is>
      </c>
    </row>
    <row r="991">
      <c r="A991" t="inlineStr">
        <is>
          <t>00</t>
        </is>
      </c>
    </row>
    <row r="992">
      <c r="A992" t="inlineStr">
        <is>
          <t>00</t>
        </is>
      </c>
    </row>
    <row r="993">
      <c r="A993" t="inlineStr">
        <is>
          <t>00</t>
        </is>
      </c>
    </row>
    <row r="994">
      <c r="A994" t="inlineStr">
        <is>
          <t>00</t>
        </is>
      </c>
    </row>
    <row r="995">
      <c r="A995" t="inlineStr">
        <is>
          <t>00</t>
        </is>
      </c>
    </row>
    <row r="996">
      <c r="A996" t="inlineStr">
        <is>
          <t>00</t>
        </is>
      </c>
    </row>
    <row r="997">
      <c r="A997" t="inlineStr">
        <is>
          <t>00</t>
        </is>
      </c>
    </row>
    <row r="998">
      <c r="A998" t="inlineStr">
        <is>
          <t>00</t>
        </is>
      </c>
    </row>
    <row r="999">
      <c r="A999" t="inlineStr">
        <is>
          <t>00</t>
        </is>
      </c>
    </row>
    <row r="1000">
      <c r="A1000" t="inlineStr">
        <is>
          <t>00</t>
        </is>
      </c>
    </row>
    <row r="1001">
      <c r="A1001" t="inlineStr">
        <is>
          <t>00</t>
        </is>
      </c>
    </row>
    <row r="1002">
      <c r="A1002" t="inlineStr">
        <is>
          <t>00</t>
        </is>
      </c>
    </row>
    <row r="1003">
      <c r="A1003" t="inlineStr">
        <is>
          <t>00</t>
        </is>
      </c>
    </row>
    <row r="1004">
      <c r="A1004" t="inlineStr">
        <is>
          <t>00</t>
        </is>
      </c>
    </row>
    <row r="1005">
      <c r="A1005" t="inlineStr">
        <is>
          <t>00</t>
        </is>
      </c>
    </row>
    <row r="1006">
      <c r="A1006" t="inlineStr">
        <is>
          <t>00</t>
        </is>
      </c>
    </row>
    <row r="1007">
      <c r="A1007" t="inlineStr">
        <is>
          <t>00</t>
        </is>
      </c>
    </row>
    <row r="1008">
      <c r="A1008" t="inlineStr">
        <is>
          <t>00</t>
        </is>
      </c>
    </row>
    <row r="1009">
      <c r="A1009" t="inlineStr">
        <is>
          <t>00</t>
        </is>
      </c>
    </row>
    <row r="1010">
      <c r="A1010" t="inlineStr">
        <is>
          <t>00</t>
        </is>
      </c>
    </row>
    <row r="1011">
      <c r="A1011" t="inlineStr">
        <is>
          <t>00</t>
        </is>
      </c>
    </row>
    <row r="1012">
      <c r="A1012" t="inlineStr">
        <is>
          <t>00</t>
        </is>
      </c>
    </row>
    <row r="1013">
      <c r="A1013" t="inlineStr">
        <is>
          <t>00</t>
        </is>
      </c>
    </row>
    <row r="1014">
      <c r="A1014" t="inlineStr">
        <is>
          <t>00</t>
        </is>
      </c>
    </row>
    <row r="1015">
      <c r="A1015" t="inlineStr">
        <is>
          <t>00</t>
        </is>
      </c>
    </row>
    <row r="1016">
      <c r="A1016" t="inlineStr">
        <is>
          <t>00</t>
        </is>
      </c>
    </row>
    <row r="1017">
      <c r="A1017" t="inlineStr">
        <is>
          <t>00</t>
        </is>
      </c>
    </row>
    <row r="1018">
      <c r="A1018" t="inlineStr">
        <is>
          <t>00</t>
        </is>
      </c>
    </row>
    <row r="1019">
      <c r="A1019" t="inlineStr">
        <is>
          <t>00</t>
        </is>
      </c>
    </row>
    <row r="1020">
      <c r="A1020" t="inlineStr">
        <is>
          <t>00</t>
        </is>
      </c>
    </row>
    <row r="1021">
      <c r="A1021" t="inlineStr">
        <is>
          <t>00</t>
        </is>
      </c>
    </row>
    <row r="1022">
      <c r="A1022" t="inlineStr">
        <is>
          <t>00</t>
        </is>
      </c>
    </row>
    <row r="1023">
      <c r="A1023" t="inlineStr">
        <is>
          <t>00</t>
        </is>
      </c>
    </row>
    <row r="1024">
      <c r="A1024" t="inlineStr">
        <is>
          <t>00</t>
        </is>
      </c>
    </row>
    <row r="1025">
      <c r="A1025" t="inlineStr">
        <is>
          <t>00</t>
        </is>
      </c>
    </row>
    <row r="1026">
      <c r="A1026" t="inlineStr">
        <is>
          <t>00</t>
        </is>
      </c>
    </row>
    <row r="1027">
      <c r="A1027" t="inlineStr">
        <is>
          <t>00</t>
        </is>
      </c>
    </row>
    <row r="1028">
      <c r="A1028" t="inlineStr">
        <is>
          <t>00</t>
        </is>
      </c>
    </row>
    <row r="1029">
      <c r="A1029" t="inlineStr">
        <is>
          <t>00</t>
        </is>
      </c>
    </row>
    <row r="1030">
      <c r="A1030" t="inlineStr">
        <is>
          <t>00</t>
        </is>
      </c>
    </row>
    <row r="1031">
      <c r="A1031" t="inlineStr">
        <is>
          <t>00</t>
        </is>
      </c>
    </row>
    <row r="1032">
      <c r="A1032" t="inlineStr">
        <is>
          <t>00</t>
        </is>
      </c>
    </row>
    <row r="1033">
      <c r="A1033" t="inlineStr">
        <is>
          <t>00</t>
        </is>
      </c>
    </row>
    <row r="1034">
      <c r="A1034" t="inlineStr">
        <is>
          <t>00</t>
        </is>
      </c>
    </row>
    <row r="1035">
      <c r="A1035" t="inlineStr">
        <is>
          <t>00</t>
        </is>
      </c>
    </row>
    <row r="1036">
      <c r="A1036" t="inlineStr">
        <is>
          <t>00</t>
        </is>
      </c>
    </row>
    <row r="1037">
      <c r="A1037" t="inlineStr">
        <is>
          <t>00</t>
        </is>
      </c>
    </row>
    <row r="1038">
      <c r="A1038" t="inlineStr">
        <is>
          <t>00</t>
        </is>
      </c>
    </row>
    <row r="1039">
      <c r="A1039" t="inlineStr">
        <is>
          <t>00</t>
        </is>
      </c>
    </row>
    <row r="1040">
      <c r="A1040" t="inlineStr">
        <is>
          <t>00</t>
        </is>
      </c>
    </row>
    <row r="1041">
      <c r="A1041" t="inlineStr">
        <is>
          <t>00</t>
        </is>
      </c>
    </row>
    <row r="1042">
      <c r="A1042" t="inlineStr">
        <is>
          <t>00</t>
        </is>
      </c>
    </row>
    <row r="1043">
      <c r="A1043" t="inlineStr">
        <is>
          <t>00</t>
        </is>
      </c>
    </row>
    <row r="1044">
      <c r="A1044" t="inlineStr">
        <is>
          <t>00</t>
        </is>
      </c>
    </row>
    <row r="1045">
      <c r="A1045" t="inlineStr">
        <is>
          <t>00</t>
        </is>
      </c>
    </row>
    <row r="1046">
      <c r="A1046" t="inlineStr">
        <is>
          <t>00</t>
        </is>
      </c>
    </row>
    <row r="1047">
      <c r="A1047" t="inlineStr">
        <is>
          <t>00</t>
        </is>
      </c>
    </row>
    <row r="1048">
      <c r="A1048" t="inlineStr">
        <is>
          <t>00</t>
        </is>
      </c>
    </row>
    <row r="1049">
      <c r="A1049" t="inlineStr">
        <is>
          <t>00</t>
        </is>
      </c>
    </row>
    <row r="1050">
      <c r="A1050" t="inlineStr">
        <is>
          <t>00</t>
        </is>
      </c>
    </row>
    <row r="1051">
      <c r="A1051" t="inlineStr">
        <is>
          <t>00</t>
        </is>
      </c>
    </row>
    <row r="1052">
      <c r="A1052" t="inlineStr">
        <is>
          <t>00</t>
        </is>
      </c>
    </row>
    <row r="1053">
      <c r="A1053" t="inlineStr">
        <is>
          <t>00</t>
        </is>
      </c>
    </row>
    <row r="1054">
      <c r="A1054" t="inlineStr">
        <is>
          <t>00</t>
        </is>
      </c>
    </row>
    <row r="1055">
      <c r="A1055" t="inlineStr">
        <is>
          <t>00</t>
        </is>
      </c>
    </row>
    <row r="1056">
      <c r="A1056" t="inlineStr">
        <is>
          <t>00</t>
        </is>
      </c>
    </row>
    <row r="1057">
      <c r="A1057" t="inlineStr">
        <is>
          <t>00</t>
        </is>
      </c>
    </row>
    <row r="1058">
      <c r="A1058" t="inlineStr">
        <is>
          <t>00</t>
        </is>
      </c>
    </row>
    <row r="1059">
      <c r="A1059" t="inlineStr">
        <is>
          <t>00</t>
        </is>
      </c>
    </row>
    <row r="1060">
      <c r="A1060" t="inlineStr">
        <is>
          <t>00</t>
        </is>
      </c>
    </row>
    <row r="1061">
      <c r="A1061" t="inlineStr">
        <is>
          <t>00</t>
        </is>
      </c>
    </row>
    <row r="1062">
      <c r="A1062" t="inlineStr">
        <is>
          <t>00</t>
        </is>
      </c>
    </row>
    <row r="1063">
      <c r="A1063" t="inlineStr">
        <is>
          <t>00</t>
        </is>
      </c>
    </row>
    <row r="1064">
      <c r="A1064" t="inlineStr">
        <is>
          <t>00</t>
        </is>
      </c>
    </row>
    <row r="1065">
      <c r="A1065" t="inlineStr">
        <is>
          <t>00</t>
        </is>
      </c>
    </row>
    <row r="1066">
      <c r="A1066" t="inlineStr">
        <is>
          <t>00</t>
        </is>
      </c>
    </row>
    <row r="1067">
      <c r="A1067" t="inlineStr">
        <is>
          <t>00</t>
        </is>
      </c>
    </row>
    <row r="1068">
      <c r="A1068" t="inlineStr">
        <is>
          <t>00</t>
        </is>
      </c>
    </row>
    <row r="1069">
      <c r="A1069" t="inlineStr">
        <is>
          <t>00</t>
        </is>
      </c>
    </row>
    <row r="1070">
      <c r="A1070" t="inlineStr">
        <is>
          <t>00</t>
        </is>
      </c>
    </row>
    <row r="1071">
      <c r="A1071" t="inlineStr">
        <is>
          <t>00</t>
        </is>
      </c>
    </row>
    <row r="1072">
      <c r="A1072" t="inlineStr">
        <is>
          <t>00</t>
        </is>
      </c>
    </row>
    <row r="1073">
      <c r="A1073" t="inlineStr">
        <is>
          <t>00</t>
        </is>
      </c>
    </row>
    <row r="1074">
      <c r="A1074" t="inlineStr">
        <is>
          <t>00</t>
        </is>
      </c>
    </row>
    <row r="1075">
      <c r="A1075" t="inlineStr">
        <is>
          <t>00</t>
        </is>
      </c>
    </row>
    <row r="1076">
      <c r="A1076" t="inlineStr">
        <is>
          <t>00</t>
        </is>
      </c>
    </row>
    <row r="1077">
      <c r="A1077" t="inlineStr">
        <is>
          <t>00</t>
        </is>
      </c>
    </row>
    <row r="1078">
      <c r="A1078" t="inlineStr">
        <is>
          <t>00</t>
        </is>
      </c>
    </row>
    <row r="1079">
      <c r="A1079" t="inlineStr">
        <is>
          <t>00</t>
        </is>
      </c>
    </row>
    <row r="1080">
      <c r="A1080" t="inlineStr">
        <is>
          <t>00</t>
        </is>
      </c>
    </row>
    <row r="1081">
      <c r="A1081" t="inlineStr">
        <is>
          <t>00</t>
        </is>
      </c>
    </row>
    <row r="1082">
      <c r="A1082" t="inlineStr">
        <is>
          <t>00</t>
        </is>
      </c>
    </row>
    <row r="1083">
      <c r="A1083" t="inlineStr">
        <is>
          <t>00</t>
        </is>
      </c>
    </row>
    <row r="1084">
      <c r="A1084" t="inlineStr">
        <is>
          <t>00</t>
        </is>
      </c>
    </row>
    <row r="1085">
      <c r="A1085" t="inlineStr">
        <is>
          <t>00</t>
        </is>
      </c>
    </row>
    <row r="1086">
      <c r="A1086" t="inlineStr">
        <is>
          <t>00</t>
        </is>
      </c>
    </row>
    <row r="1087">
      <c r="A1087" t="inlineStr">
        <is>
          <t>00</t>
        </is>
      </c>
    </row>
    <row r="1088">
      <c r="A1088" t="inlineStr">
        <is>
          <t>00</t>
        </is>
      </c>
    </row>
    <row r="1089">
      <c r="A1089" t="inlineStr">
        <is>
          <t>00</t>
        </is>
      </c>
    </row>
    <row r="1090">
      <c r="A1090" t="inlineStr">
        <is>
          <t>00</t>
        </is>
      </c>
    </row>
    <row r="1091">
      <c r="A1091" t="inlineStr">
        <is>
          <t>00</t>
        </is>
      </c>
    </row>
    <row r="1092">
      <c r="A1092" t="inlineStr">
        <is>
          <t>00</t>
        </is>
      </c>
    </row>
    <row r="1093">
      <c r="A1093" t="inlineStr">
        <is>
          <t>00</t>
        </is>
      </c>
    </row>
    <row r="1094">
      <c r="A1094" t="inlineStr">
        <is>
          <t>00</t>
        </is>
      </c>
    </row>
    <row r="1095">
      <c r="A1095" t="inlineStr">
        <is>
          <t>00</t>
        </is>
      </c>
    </row>
    <row r="1096">
      <c r="A1096" t="inlineStr">
        <is>
          <t>00</t>
        </is>
      </c>
    </row>
    <row r="1097">
      <c r="A1097" t="inlineStr">
        <is>
          <t>00</t>
        </is>
      </c>
    </row>
    <row r="1098">
      <c r="A1098" t="inlineStr">
        <is>
          <t>00</t>
        </is>
      </c>
    </row>
    <row r="1099">
      <c r="A1099" t="inlineStr">
        <is>
          <t>00</t>
        </is>
      </c>
    </row>
    <row r="1100">
      <c r="A1100" t="inlineStr">
        <is>
          <t>00</t>
        </is>
      </c>
    </row>
    <row r="1101">
      <c r="A1101" t="inlineStr">
        <is>
          <t>00</t>
        </is>
      </c>
    </row>
    <row r="1102">
      <c r="A1102" t="inlineStr">
        <is>
          <t>00</t>
        </is>
      </c>
    </row>
    <row r="1103">
      <c r="A1103" t="inlineStr">
        <is>
          <t>00</t>
        </is>
      </c>
    </row>
    <row r="1104">
      <c r="A1104" t="inlineStr">
        <is>
          <t>00</t>
        </is>
      </c>
    </row>
    <row r="1105">
      <c r="A1105" t="inlineStr">
        <is>
          <t>00</t>
        </is>
      </c>
    </row>
    <row r="1106">
      <c r="A1106" t="inlineStr">
        <is>
          <t>00</t>
        </is>
      </c>
    </row>
    <row r="1107">
      <c r="A1107" t="inlineStr">
        <is>
          <t>00</t>
        </is>
      </c>
    </row>
    <row r="1108">
      <c r="A1108" t="inlineStr">
        <is>
          <t>00</t>
        </is>
      </c>
    </row>
    <row r="1109">
      <c r="A1109" t="inlineStr">
        <is>
          <t>00</t>
        </is>
      </c>
    </row>
    <row r="1110">
      <c r="A1110" t="inlineStr">
        <is>
          <t>00</t>
        </is>
      </c>
    </row>
    <row r="1111">
      <c r="A1111" t="inlineStr">
        <is>
          <t>00</t>
        </is>
      </c>
    </row>
    <row r="1112">
      <c r="A1112" t="inlineStr">
        <is>
          <t>00</t>
        </is>
      </c>
    </row>
    <row r="1113">
      <c r="A1113" t="inlineStr">
        <is>
          <t>00</t>
        </is>
      </c>
    </row>
    <row r="1114">
      <c r="A1114" t="inlineStr">
        <is>
          <t>00</t>
        </is>
      </c>
    </row>
    <row r="1115">
      <c r="A1115" t="inlineStr">
        <is>
          <t>00</t>
        </is>
      </c>
    </row>
    <row r="1116">
      <c r="A1116" t="inlineStr">
        <is>
          <t>00</t>
        </is>
      </c>
    </row>
    <row r="1117">
      <c r="A1117" t="inlineStr">
        <is>
          <t>00</t>
        </is>
      </c>
    </row>
    <row r="1118">
      <c r="A1118" t="inlineStr">
        <is>
          <t>00</t>
        </is>
      </c>
    </row>
    <row r="1119">
      <c r="A1119" t="inlineStr">
        <is>
          <t>00</t>
        </is>
      </c>
    </row>
    <row r="1120">
      <c r="A1120" t="inlineStr">
        <is>
          <t>00</t>
        </is>
      </c>
    </row>
    <row r="1121">
      <c r="A1121" t="inlineStr">
        <is>
          <t>00</t>
        </is>
      </c>
    </row>
    <row r="1122">
      <c r="A1122" t="inlineStr">
        <is>
          <t>00</t>
        </is>
      </c>
    </row>
    <row r="1123">
      <c r="A1123" t="inlineStr">
        <is>
          <t>00</t>
        </is>
      </c>
    </row>
    <row r="1124">
      <c r="A1124" t="inlineStr">
        <is>
          <t>00</t>
        </is>
      </c>
    </row>
    <row r="1125">
      <c r="A1125" t="inlineStr">
        <is>
          <t>00</t>
        </is>
      </c>
    </row>
    <row r="1126">
      <c r="A1126" t="inlineStr">
        <is>
          <t>00</t>
        </is>
      </c>
    </row>
    <row r="1127">
      <c r="A1127" t="inlineStr">
        <is>
          <t>00</t>
        </is>
      </c>
    </row>
    <row r="1128">
      <c r="A1128" t="inlineStr">
        <is>
          <t>00</t>
        </is>
      </c>
    </row>
    <row r="1129">
      <c r="A1129" t="inlineStr">
        <is>
          <t>00</t>
        </is>
      </c>
    </row>
    <row r="1130">
      <c r="A1130" t="inlineStr">
        <is>
          <t>00</t>
        </is>
      </c>
    </row>
    <row r="1131">
      <c r="A1131" t="inlineStr">
        <is>
          <t>00</t>
        </is>
      </c>
    </row>
    <row r="1132">
      <c r="A1132" t="inlineStr">
        <is>
          <t>00</t>
        </is>
      </c>
    </row>
    <row r="1133">
      <c r="A1133" t="inlineStr">
        <is>
          <t>00</t>
        </is>
      </c>
    </row>
    <row r="1134">
      <c r="A1134" t="inlineStr">
        <is>
          <t>00</t>
        </is>
      </c>
    </row>
    <row r="1135">
      <c r="A1135" t="inlineStr">
        <is>
          <t>00</t>
        </is>
      </c>
    </row>
    <row r="1136">
      <c r="A1136" t="inlineStr">
        <is>
          <t>00</t>
        </is>
      </c>
    </row>
    <row r="1137">
      <c r="A1137" t="inlineStr">
        <is>
          <t>00</t>
        </is>
      </c>
    </row>
    <row r="1138">
      <c r="A1138" t="inlineStr">
        <is>
          <t>00</t>
        </is>
      </c>
    </row>
    <row r="1139">
      <c r="A1139" t="inlineStr">
        <is>
          <t>00</t>
        </is>
      </c>
    </row>
    <row r="1140">
      <c r="A1140" t="inlineStr">
        <is>
          <t>00</t>
        </is>
      </c>
    </row>
    <row r="1141">
      <c r="A1141" t="inlineStr">
        <is>
          <t>00</t>
        </is>
      </c>
    </row>
    <row r="1142">
      <c r="A1142" t="inlineStr">
        <is>
          <t>00</t>
        </is>
      </c>
    </row>
    <row r="1143">
      <c r="A1143" t="inlineStr">
        <is>
          <t>00</t>
        </is>
      </c>
    </row>
    <row r="1144">
      <c r="A1144" t="inlineStr">
        <is>
          <t>00</t>
        </is>
      </c>
    </row>
    <row r="1145">
      <c r="A1145" t="inlineStr">
        <is>
          <t>00</t>
        </is>
      </c>
    </row>
    <row r="1146">
      <c r="A1146" t="inlineStr">
        <is>
          <t>00</t>
        </is>
      </c>
    </row>
    <row r="1147">
      <c r="A1147" t="inlineStr">
        <is>
          <t>00</t>
        </is>
      </c>
    </row>
    <row r="1148">
      <c r="A1148" t="inlineStr">
        <is>
          <t>00</t>
        </is>
      </c>
    </row>
    <row r="1149">
      <c r="A1149" t="inlineStr">
        <is>
          <t>00</t>
        </is>
      </c>
    </row>
    <row r="1150">
      <c r="A1150" t="inlineStr">
        <is>
          <t>00</t>
        </is>
      </c>
    </row>
    <row r="1151">
      <c r="A1151" t="inlineStr">
        <is>
          <t>00</t>
        </is>
      </c>
    </row>
    <row r="1152">
      <c r="A1152" t="inlineStr">
        <is>
          <t>00</t>
        </is>
      </c>
    </row>
    <row r="1153">
      <c r="A1153" t="inlineStr">
        <is>
          <t>00</t>
        </is>
      </c>
    </row>
    <row r="1154">
      <c r="A1154" t="inlineStr">
        <is>
          <t>00</t>
        </is>
      </c>
    </row>
    <row r="1155">
      <c r="A1155" t="inlineStr">
        <is>
          <t>00</t>
        </is>
      </c>
    </row>
    <row r="1156">
      <c r="A1156" t="inlineStr">
        <is>
          <t>00</t>
        </is>
      </c>
    </row>
    <row r="1157">
      <c r="A1157" t="inlineStr">
        <is>
          <t>00</t>
        </is>
      </c>
    </row>
    <row r="1158">
      <c r="A1158" t="inlineStr">
        <is>
          <t>00</t>
        </is>
      </c>
    </row>
    <row r="1159">
      <c r="A1159" t="inlineStr">
        <is>
          <t>00</t>
        </is>
      </c>
    </row>
    <row r="1160">
      <c r="A1160" t="inlineStr">
        <is>
          <t>00</t>
        </is>
      </c>
    </row>
    <row r="1161">
      <c r="A1161" t="inlineStr">
        <is>
          <t>00</t>
        </is>
      </c>
    </row>
    <row r="1162">
      <c r="A1162" t="inlineStr">
        <is>
          <t>00</t>
        </is>
      </c>
    </row>
    <row r="1163">
      <c r="A1163" t="inlineStr">
        <is>
          <t>00</t>
        </is>
      </c>
    </row>
    <row r="1164">
      <c r="A1164" t="inlineStr">
        <is>
          <t>00</t>
        </is>
      </c>
    </row>
    <row r="1165">
      <c r="A1165" t="inlineStr">
        <is>
          <t>00</t>
        </is>
      </c>
    </row>
    <row r="1166">
      <c r="A1166" t="inlineStr">
        <is>
          <t>00</t>
        </is>
      </c>
    </row>
    <row r="1167">
      <c r="A1167" t="inlineStr">
        <is>
          <t>00</t>
        </is>
      </c>
    </row>
    <row r="1168">
      <c r="A1168" t="inlineStr">
        <is>
          <t>00</t>
        </is>
      </c>
    </row>
    <row r="1169">
      <c r="A1169" t="inlineStr">
        <is>
          <t>00</t>
        </is>
      </c>
    </row>
    <row r="1170">
      <c r="A1170" t="inlineStr">
        <is>
          <t>00</t>
        </is>
      </c>
    </row>
    <row r="1171">
      <c r="A1171" t="inlineStr">
        <is>
          <t>00</t>
        </is>
      </c>
    </row>
    <row r="1172">
      <c r="A1172" t="inlineStr">
        <is>
          <t>00</t>
        </is>
      </c>
    </row>
    <row r="1173">
      <c r="A1173" t="inlineStr">
        <is>
          <t>00</t>
        </is>
      </c>
    </row>
    <row r="1174">
      <c r="A1174" t="inlineStr">
        <is>
          <t>00</t>
        </is>
      </c>
    </row>
    <row r="1175">
      <c r="A1175" t="inlineStr">
        <is>
          <t>00</t>
        </is>
      </c>
    </row>
    <row r="1176">
      <c r="A1176" t="inlineStr">
        <is>
          <t>00</t>
        </is>
      </c>
    </row>
    <row r="1177">
      <c r="A1177" t="inlineStr">
        <is>
          <t>00</t>
        </is>
      </c>
    </row>
    <row r="1178">
      <c r="A1178" t="inlineStr">
        <is>
          <t>00</t>
        </is>
      </c>
    </row>
    <row r="1179">
      <c r="A1179" t="inlineStr">
        <is>
          <t>00</t>
        </is>
      </c>
    </row>
    <row r="1180">
      <c r="A1180" t="inlineStr">
        <is>
          <t>00</t>
        </is>
      </c>
    </row>
    <row r="1181">
      <c r="A1181" t="inlineStr">
        <is>
          <t>00</t>
        </is>
      </c>
    </row>
    <row r="1182">
      <c r="A1182" t="inlineStr">
        <is>
          <t>00</t>
        </is>
      </c>
    </row>
    <row r="1183">
      <c r="A1183" t="inlineStr">
        <is>
          <t>00</t>
        </is>
      </c>
    </row>
    <row r="1184">
      <c r="A1184" t="inlineStr">
        <is>
          <t>00</t>
        </is>
      </c>
    </row>
    <row r="1185">
      <c r="A1185" t="inlineStr">
        <is>
          <t>00</t>
        </is>
      </c>
    </row>
    <row r="1186">
      <c r="A1186" t="inlineStr">
        <is>
          <t>00</t>
        </is>
      </c>
    </row>
    <row r="1187">
      <c r="A1187" t="inlineStr">
        <is>
          <t>00</t>
        </is>
      </c>
    </row>
    <row r="1188">
      <c r="A1188" t="inlineStr">
        <is>
          <t>00</t>
        </is>
      </c>
    </row>
    <row r="1189">
      <c r="A1189" t="inlineStr">
        <is>
          <t>00</t>
        </is>
      </c>
    </row>
    <row r="1190">
      <c r="A1190" t="inlineStr">
        <is>
          <t>00</t>
        </is>
      </c>
    </row>
    <row r="1191">
      <c r="A1191" t="inlineStr">
        <is>
          <t>00</t>
        </is>
      </c>
    </row>
    <row r="1192">
      <c r="A1192" t="inlineStr">
        <is>
          <t>00</t>
        </is>
      </c>
    </row>
    <row r="1193">
      <c r="A1193" t="inlineStr">
        <is>
          <t>00</t>
        </is>
      </c>
    </row>
    <row r="1194">
      <c r="A1194" t="inlineStr">
        <is>
          <t>00</t>
        </is>
      </c>
    </row>
    <row r="1195">
      <c r="A1195" t="inlineStr">
        <is>
          <t>00</t>
        </is>
      </c>
    </row>
    <row r="1196">
      <c r="A1196" t="inlineStr">
        <is>
          <t>00</t>
        </is>
      </c>
    </row>
    <row r="1197">
      <c r="A1197" t="inlineStr">
        <is>
          <t>00</t>
        </is>
      </c>
    </row>
    <row r="1198">
      <c r="A1198" t="inlineStr">
        <is>
          <t>00</t>
        </is>
      </c>
    </row>
    <row r="1199">
      <c r="A1199" t="inlineStr">
        <is>
          <t>00</t>
        </is>
      </c>
    </row>
    <row r="1200">
      <c r="A1200" t="inlineStr">
        <is>
          <t>00</t>
        </is>
      </c>
    </row>
    <row r="1201">
      <c r="A1201" t="inlineStr">
        <is>
          <t>00</t>
        </is>
      </c>
    </row>
    <row r="1202">
      <c r="A1202" t="inlineStr">
        <is>
          <t>00</t>
        </is>
      </c>
    </row>
    <row r="1203">
      <c r="A1203" t="inlineStr">
        <is>
          <t>00</t>
        </is>
      </c>
    </row>
    <row r="1204">
      <c r="A1204" t="inlineStr">
        <is>
          <t>00</t>
        </is>
      </c>
    </row>
    <row r="1205">
      <c r="A1205" t="inlineStr">
        <is>
          <t>00</t>
        </is>
      </c>
    </row>
    <row r="1206">
      <c r="A1206" t="inlineStr">
        <is>
          <t>00</t>
        </is>
      </c>
    </row>
    <row r="1207">
      <c r="A1207" t="inlineStr">
        <is>
          <t>00</t>
        </is>
      </c>
    </row>
    <row r="1208">
      <c r="A1208" t="inlineStr">
        <is>
          <t>00</t>
        </is>
      </c>
    </row>
    <row r="1209">
      <c r="A1209" t="inlineStr">
        <is>
          <t>00</t>
        </is>
      </c>
    </row>
    <row r="1210">
      <c r="A1210" t="inlineStr">
        <is>
          <t>00</t>
        </is>
      </c>
    </row>
    <row r="1211">
      <c r="A1211" t="inlineStr">
        <is>
          <t>00</t>
        </is>
      </c>
    </row>
    <row r="1212">
      <c r="A1212" t="inlineStr">
        <is>
          <t>00</t>
        </is>
      </c>
    </row>
    <row r="1213">
      <c r="A1213" t="inlineStr">
        <is>
          <t>00</t>
        </is>
      </c>
    </row>
    <row r="1214">
      <c r="A1214" t="inlineStr">
        <is>
          <t>00</t>
        </is>
      </c>
    </row>
    <row r="1215">
      <c r="A1215" t="inlineStr">
        <is>
          <t>00</t>
        </is>
      </c>
    </row>
    <row r="1216">
      <c r="A1216" t="inlineStr">
        <is>
          <t>00</t>
        </is>
      </c>
    </row>
    <row r="1217">
      <c r="A1217" t="inlineStr">
        <is>
          <t>00</t>
        </is>
      </c>
    </row>
    <row r="1218">
      <c r="A1218" t="inlineStr">
        <is>
          <t>00</t>
        </is>
      </c>
    </row>
    <row r="1219">
      <c r="A1219" t="inlineStr">
        <is>
          <t>00</t>
        </is>
      </c>
    </row>
    <row r="1220">
      <c r="A1220" t="inlineStr">
        <is>
          <t>00</t>
        </is>
      </c>
    </row>
    <row r="1221">
      <c r="A1221" t="inlineStr">
        <is>
          <t>00</t>
        </is>
      </c>
    </row>
    <row r="1222">
      <c r="A1222" t="inlineStr">
        <is>
          <t>00</t>
        </is>
      </c>
    </row>
    <row r="1223">
      <c r="A1223" t="inlineStr">
        <is>
          <t>00</t>
        </is>
      </c>
    </row>
    <row r="1224">
      <c r="A1224" t="inlineStr">
        <is>
          <t>00</t>
        </is>
      </c>
    </row>
    <row r="1225">
      <c r="A1225" t="inlineStr">
        <is>
          <t>00</t>
        </is>
      </c>
    </row>
    <row r="1226">
      <c r="A1226" t="inlineStr">
        <is>
          <t>00</t>
        </is>
      </c>
    </row>
    <row r="1227">
      <c r="A1227" t="inlineStr">
        <is>
          <t>00</t>
        </is>
      </c>
    </row>
    <row r="1228">
      <c r="A1228" t="inlineStr">
        <is>
          <t>00</t>
        </is>
      </c>
    </row>
    <row r="1229">
      <c r="A1229" t="inlineStr">
        <is>
          <t>00</t>
        </is>
      </c>
    </row>
    <row r="1230">
      <c r="A1230" t="inlineStr">
        <is>
          <t>00</t>
        </is>
      </c>
    </row>
    <row r="1231">
      <c r="A1231" t="inlineStr">
        <is>
          <t>00</t>
        </is>
      </c>
    </row>
    <row r="1232">
      <c r="A1232" t="inlineStr">
        <is>
          <t>00</t>
        </is>
      </c>
    </row>
    <row r="1233">
      <c r="A1233" t="inlineStr">
        <is>
          <t>00</t>
        </is>
      </c>
    </row>
    <row r="1234">
      <c r="A1234" t="inlineStr">
        <is>
          <t>00</t>
        </is>
      </c>
    </row>
    <row r="1235">
      <c r="A1235" t="inlineStr">
        <is>
          <t>00</t>
        </is>
      </c>
    </row>
    <row r="1236">
      <c r="A1236" t="inlineStr">
        <is>
          <t>00</t>
        </is>
      </c>
    </row>
    <row r="1237">
      <c r="A1237" t="inlineStr">
        <is>
          <t>00</t>
        </is>
      </c>
    </row>
    <row r="1238">
      <c r="A1238" t="inlineStr">
        <is>
          <t>00</t>
        </is>
      </c>
    </row>
    <row r="1239">
      <c r="A1239" t="inlineStr">
        <is>
          <t>00</t>
        </is>
      </c>
    </row>
    <row r="1240">
      <c r="A1240" t="inlineStr">
        <is>
          <t>00</t>
        </is>
      </c>
    </row>
    <row r="1241">
      <c r="A1241" t="inlineStr">
        <is>
          <t>00</t>
        </is>
      </c>
    </row>
    <row r="1242">
      <c r="A1242" t="inlineStr">
        <is>
          <t>00</t>
        </is>
      </c>
    </row>
    <row r="1243">
      <c r="A1243" t="inlineStr">
        <is>
          <t>00</t>
        </is>
      </c>
    </row>
    <row r="1244">
      <c r="A1244" t="inlineStr">
        <is>
          <t>00</t>
        </is>
      </c>
    </row>
    <row r="1245">
      <c r="A1245" t="inlineStr">
        <is>
          <t>00</t>
        </is>
      </c>
    </row>
    <row r="1246">
      <c r="A1246" t="inlineStr">
        <is>
          <t>00</t>
        </is>
      </c>
    </row>
    <row r="1247">
      <c r="A1247" t="inlineStr">
        <is>
          <t>00</t>
        </is>
      </c>
    </row>
    <row r="1248">
      <c r="A1248" t="inlineStr">
        <is>
          <t>00</t>
        </is>
      </c>
    </row>
    <row r="1249">
      <c r="A1249" t="inlineStr">
        <is>
          <t>00</t>
        </is>
      </c>
    </row>
    <row r="1250">
      <c r="A1250" t="inlineStr">
        <is>
          <t>00</t>
        </is>
      </c>
    </row>
    <row r="1251">
      <c r="A1251" t="inlineStr">
        <is>
          <t>00</t>
        </is>
      </c>
    </row>
    <row r="1252">
      <c r="A1252" t="inlineStr">
        <is>
          <t>00</t>
        </is>
      </c>
    </row>
    <row r="1253">
      <c r="A1253" t="inlineStr">
        <is>
          <t>00</t>
        </is>
      </c>
    </row>
    <row r="1254">
      <c r="A1254" t="inlineStr">
        <is>
          <t>00</t>
        </is>
      </c>
    </row>
    <row r="1255">
      <c r="A1255" t="inlineStr">
        <is>
          <t>00</t>
        </is>
      </c>
    </row>
    <row r="1256">
      <c r="A1256" t="inlineStr">
        <is>
          <t>00</t>
        </is>
      </c>
    </row>
    <row r="1257">
      <c r="A1257" t="inlineStr">
        <is>
          <t>00</t>
        </is>
      </c>
    </row>
    <row r="1258">
      <c r="A1258" t="inlineStr">
        <is>
          <t>00</t>
        </is>
      </c>
    </row>
    <row r="1259">
      <c r="A1259" t="inlineStr">
        <is>
          <t>00</t>
        </is>
      </c>
    </row>
    <row r="1260">
      <c r="A1260" t="inlineStr">
        <is>
          <t>00</t>
        </is>
      </c>
    </row>
    <row r="1261">
      <c r="A1261" t="inlineStr">
        <is>
          <t>00</t>
        </is>
      </c>
    </row>
    <row r="1262">
      <c r="A1262" t="inlineStr">
        <is>
          <t>00</t>
        </is>
      </c>
    </row>
    <row r="1263">
      <c r="A1263" t="inlineStr">
        <is>
          <t>00</t>
        </is>
      </c>
    </row>
    <row r="1264">
      <c r="A1264" t="inlineStr">
        <is>
          <t>00</t>
        </is>
      </c>
    </row>
    <row r="1265">
      <c r="A1265" t="inlineStr">
        <is>
          <t>00</t>
        </is>
      </c>
    </row>
    <row r="1266">
      <c r="A1266" t="inlineStr">
        <is>
          <t>00</t>
        </is>
      </c>
    </row>
    <row r="1267">
      <c r="A1267" t="inlineStr">
        <is>
          <t>00</t>
        </is>
      </c>
    </row>
    <row r="1268">
      <c r="A1268" t="inlineStr">
        <is>
          <t>00</t>
        </is>
      </c>
    </row>
    <row r="1269">
      <c r="A1269" t="inlineStr">
        <is>
          <t>00</t>
        </is>
      </c>
    </row>
    <row r="1270">
      <c r="A1270" t="inlineStr">
        <is>
          <t>00</t>
        </is>
      </c>
    </row>
    <row r="1271">
      <c r="A1271" t="inlineStr">
        <is>
          <t>00</t>
        </is>
      </c>
    </row>
    <row r="1272">
      <c r="A1272" t="inlineStr">
        <is>
          <t>00</t>
        </is>
      </c>
    </row>
    <row r="1273">
      <c r="A1273" t="inlineStr">
        <is>
          <t>00</t>
        </is>
      </c>
    </row>
    <row r="1274">
      <c r="A1274" t="inlineStr">
        <is>
          <t>00</t>
        </is>
      </c>
    </row>
    <row r="1275">
      <c r="A1275" t="inlineStr">
        <is>
          <t>00</t>
        </is>
      </c>
    </row>
    <row r="1276">
      <c r="A1276" t="inlineStr">
        <is>
          <t>00</t>
        </is>
      </c>
    </row>
    <row r="1277">
      <c r="A1277" t="inlineStr">
        <is>
          <t>00</t>
        </is>
      </c>
    </row>
    <row r="1278">
      <c r="A1278" t="inlineStr">
        <is>
          <t>00</t>
        </is>
      </c>
    </row>
    <row r="1279">
      <c r="A1279" t="inlineStr">
        <is>
          <t>00</t>
        </is>
      </c>
    </row>
    <row r="1280">
      <c r="A1280" t="inlineStr">
        <is>
          <t>00</t>
        </is>
      </c>
    </row>
    <row r="1281">
      <c r="A1281" t="inlineStr">
        <is>
          <t>00</t>
        </is>
      </c>
    </row>
    <row r="1282">
      <c r="A1282" t="inlineStr">
        <is>
          <t>00</t>
        </is>
      </c>
    </row>
    <row r="1283">
      <c r="A1283" t="inlineStr">
        <is>
          <t>00</t>
        </is>
      </c>
    </row>
    <row r="1284">
      <c r="A1284" t="inlineStr">
        <is>
          <t>00</t>
        </is>
      </c>
    </row>
    <row r="1285">
      <c r="A1285" t="inlineStr">
        <is>
          <t>00</t>
        </is>
      </c>
    </row>
    <row r="1286">
      <c r="A1286" t="inlineStr">
        <is>
          <t>00</t>
        </is>
      </c>
    </row>
    <row r="1287">
      <c r="A1287" t="inlineStr">
        <is>
          <t>00</t>
        </is>
      </c>
    </row>
    <row r="1288">
      <c r="A1288" t="inlineStr">
        <is>
          <t>00</t>
        </is>
      </c>
    </row>
    <row r="1289">
      <c r="A1289" t="inlineStr">
        <is>
          <t>00</t>
        </is>
      </c>
    </row>
    <row r="1290">
      <c r="A1290" t="inlineStr">
        <is>
          <t>00</t>
        </is>
      </c>
    </row>
    <row r="1291">
      <c r="A1291" t="inlineStr">
        <is>
          <t>00</t>
        </is>
      </c>
    </row>
    <row r="1292">
      <c r="A1292" t="inlineStr">
        <is>
          <t>00</t>
        </is>
      </c>
    </row>
    <row r="1293">
      <c r="A1293" t="inlineStr">
        <is>
          <t>00</t>
        </is>
      </c>
    </row>
    <row r="1294">
      <c r="A1294" t="inlineStr">
        <is>
          <t>00</t>
        </is>
      </c>
    </row>
    <row r="1295">
      <c r="A1295" t="inlineStr">
        <is>
          <t>00</t>
        </is>
      </c>
    </row>
    <row r="1296">
      <c r="A1296" t="inlineStr">
        <is>
          <t>00</t>
        </is>
      </c>
    </row>
    <row r="1297">
      <c r="A1297" t="inlineStr">
        <is>
          <t>00</t>
        </is>
      </c>
    </row>
    <row r="1298">
      <c r="A1298" t="inlineStr">
        <is>
          <t>00</t>
        </is>
      </c>
    </row>
    <row r="1299">
      <c r="A1299" t="inlineStr">
        <is>
          <t>00</t>
        </is>
      </c>
    </row>
    <row r="1300">
      <c r="A1300" t="inlineStr">
        <is>
          <t>00</t>
        </is>
      </c>
    </row>
    <row r="1301">
      <c r="A1301" t="inlineStr">
        <is>
          <t>00</t>
        </is>
      </c>
    </row>
    <row r="1302">
      <c r="A1302" t="inlineStr">
        <is>
          <t>00</t>
        </is>
      </c>
    </row>
    <row r="1303">
      <c r="A1303" t="inlineStr">
        <is>
          <t>00</t>
        </is>
      </c>
    </row>
    <row r="1304">
      <c r="A1304" t="inlineStr">
        <is>
          <t>00</t>
        </is>
      </c>
    </row>
    <row r="1305">
      <c r="A1305" t="inlineStr">
        <is>
          <t>00</t>
        </is>
      </c>
    </row>
    <row r="1306">
      <c r="A1306" t="inlineStr">
        <is>
          <t>00</t>
        </is>
      </c>
    </row>
    <row r="1307">
      <c r="A1307" t="inlineStr">
        <is>
          <t>00</t>
        </is>
      </c>
    </row>
    <row r="1308">
      <c r="A1308" t="inlineStr">
        <is>
          <t>00</t>
        </is>
      </c>
    </row>
    <row r="1309">
      <c r="A1309" t="inlineStr">
        <is>
          <t>00</t>
        </is>
      </c>
    </row>
    <row r="1310">
      <c r="A1310" t="inlineStr">
        <is>
          <t>00</t>
        </is>
      </c>
    </row>
    <row r="1311">
      <c r="A1311" t="inlineStr">
        <is>
          <t>00</t>
        </is>
      </c>
    </row>
    <row r="1312">
      <c r="A1312" t="inlineStr">
        <is>
          <t>00</t>
        </is>
      </c>
    </row>
    <row r="1313">
      <c r="A1313" t="inlineStr">
        <is>
          <t>30</t>
        </is>
      </c>
    </row>
    <row r="1314">
      <c r="A1314" t="inlineStr">
        <is>
          <t>35</t>
        </is>
      </c>
    </row>
    <row r="1315">
      <c r="A1315" t="inlineStr">
        <is>
          <t>35</t>
        </is>
      </c>
    </row>
    <row r="1316">
      <c r="A1316" t="inlineStr">
        <is>
          <t>34</t>
        </is>
      </c>
    </row>
    <row r="1317">
      <c r="A1317" t="inlineStr">
        <is>
          <t>35</t>
        </is>
      </c>
    </row>
    <row r="1318">
      <c r="A1318" t="inlineStr">
        <is>
          <t>34</t>
        </is>
      </c>
    </row>
    <row r="1319">
      <c r="A1319" t="inlineStr">
        <is>
          <t>33</t>
        </is>
      </c>
    </row>
    <row r="1320">
      <c r="A1320" t="inlineStr">
        <is>
          <t>30</t>
        </is>
      </c>
    </row>
    <row r="1321">
      <c r="A1321" t="inlineStr">
        <is>
          <t>30</t>
        </is>
      </c>
    </row>
    <row r="1322">
      <c r="A1322" t="inlineStr">
        <is>
          <t>30</t>
        </is>
      </c>
    </row>
    <row r="1323">
      <c r="A1323" t="inlineStr">
        <is>
          <t>30</t>
        </is>
      </c>
    </row>
    <row r="1324">
      <c r="A1324" t="inlineStr">
        <is>
          <t>2D</t>
        </is>
      </c>
    </row>
    <row r="1325">
      <c r="A1325" t="inlineStr">
        <is>
          <t>32</t>
        </is>
      </c>
    </row>
    <row r="1326">
      <c r="A1326" t="inlineStr">
        <is>
          <t>30</t>
        </is>
      </c>
    </row>
    <row r="1327">
      <c r="A1327" t="inlineStr">
        <is>
          <t>37</t>
        </is>
      </c>
    </row>
    <row r="1328">
      <c r="A1328" t="inlineStr">
        <is>
          <t>39</t>
        </is>
      </c>
    </row>
    <row r="1329">
      <c r="A1329" t="inlineStr">
        <is>
          <t>31</t>
        </is>
      </c>
    </row>
    <row r="1330">
      <c r="A1330" t="inlineStr">
        <is>
          <t>2D</t>
        </is>
      </c>
    </row>
    <row r="1331">
      <c r="A1331" t="inlineStr">
        <is>
          <t>31</t>
        </is>
      </c>
    </row>
    <row r="1332">
      <c r="A1332" t="inlineStr">
        <is>
          <t>33</t>
        </is>
      </c>
    </row>
    <row r="1333">
      <c r="A1333" t="inlineStr">
        <is>
          <t>31</t>
        </is>
      </c>
    </row>
    <row r="1334">
      <c r="A1334" t="inlineStr">
        <is>
          <t>30</t>
        </is>
      </c>
    </row>
    <row r="1335">
      <c r="A1335" t="inlineStr">
        <is>
          <t>41</t>
        </is>
      </c>
    </row>
    <row r="1336">
      <c r="A1336" t="inlineStr">
        <is>
          <t>43</t>
        </is>
      </c>
    </row>
    <row r="1337">
      <c r="A1337" t="inlineStr">
        <is>
          <t>0000</t>
        </is>
      </c>
    </row>
    <row r="1338">
      <c r="A1338" t="inlineStr">
        <is>
          <t>0000</t>
        </is>
      </c>
    </row>
    <row r="1339">
      <c r="A1339" t="inlineStr">
        <is>
          <t>0000</t>
        </is>
      </c>
    </row>
    <row r="1340">
      <c r="A1340" t="inlineStr">
        <is>
          <t>0000</t>
        </is>
      </c>
    </row>
    <row r="1341">
      <c r="A1341" t="inlineStr">
        <is>
          <t>0000</t>
        </is>
      </c>
    </row>
    <row r="1342">
      <c r="A1342" t="inlineStr">
        <is>
          <t>1800</t>
        </is>
      </c>
    </row>
    <row r="1343">
      <c r="A1343" t="inlineStr">
        <is>
          <t>0000</t>
        </is>
      </c>
    </row>
    <row r="1344">
      <c r="A1344" t="inlineStr">
        <is>
          <t>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D7:BD25"/>
  <sheetViews>
    <sheetView tabSelected="1" zoomScale="130" zoomScaleNormal="130" workbookViewId="0">
      <selection activeCell="AB5" sqref="AB5"/>
    </sheetView>
  </sheetViews>
  <sheetFormatPr baseColWidth="8" defaultRowHeight="15"/>
  <cols>
    <col width="10" bestFit="1" customWidth="1" min="4" max="4"/>
    <col width="9.5703125" bestFit="1" customWidth="1" min="5" max="5"/>
    <col width="2.42578125" customWidth="1" min="6" max="12"/>
    <col hidden="1" width="13" customWidth="1" min="13" max="15"/>
    <col width="5.85546875" customWidth="1" min="16" max="20"/>
    <col width="2" customWidth="1" min="21" max="24"/>
    <col width="3" bestFit="1" customWidth="1" min="25" max="47"/>
    <col width="2" bestFit="1" customWidth="1" min="48" max="56"/>
  </cols>
  <sheetData>
    <row r="7"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9" t="n"/>
      <c r="Y7" s="36" t="n">
        <v>32</v>
      </c>
      <c r="Z7" s="36">
        <f>Y7-1</f>
        <v/>
      </c>
      <c r="AA7" s="36">
        <f>Z7-1</f>
        <v/>
      </c>
      <c r="AB7" s="36">
        <f>AA7-1</f>
        <v/>
      </c>
      <c r="AC7" s="36">
        <f>AB7-1</f>
        <v/>
      </c>
      <c r="AD7" s="36">
        <f>AC7-1</f>
        <v/>
      </c>
      <c r="AE7" s="36">
        <f>AD7-1</f>
        <v/>
      </c>
      <c r="AF7" s="36">
        <f>AE7-1</f>
        <v/>
      </c>
      <c r="AG7" s="36">
        <f>AF7-1</f>
        <v/>
      </c>
      <c r="AH7" s="36">
        <f>AG7-1</f>
        <v/>
      </c>
      <c r="AI7" s="36">
        <f>AH7-1</f>
        <v/>
      </c>
      <c r="AJ7" s="36">
        <f>AI7-1</f>
        <v/>
      </c>
      <c r="AK7" s="36">
        <f>AJ7-1</f>
        <v/>
      </c>
      <c r="AL7" s="36">
        <f>AK7-1</f>
        <v/>
      </c>
      <c r="AM7" s="36">
        <f>AL7-1</f>
        <v/>
      </c>
      <c r="AN7" s="36">
        <f>AM7-1</f>
        <v/>
      </c>
      <c r="AO7" s="36">
        <f>AN7-1</f>
        <v/>
      </c>
      <c r="AP7" s="36">
        <f>AO7-1</f>
        <v/>
      </c>
      <c r="AQ7" s="36">
        <f>AP7-1</f>
        <v/>
      </c>
      <c r="AR7" s="36">
        <f>AQ7-1</f>
        <v/>
      </c>
      <c r="AS7" s="36">
        <f>AR7-1</f>
        <v/>
      </c>
      <c r="AT7" s="36">
        <f>AS7-1</f>
        <v/>
      </c>
      <c r="AU7" s="36">
        <f>AT7-1</f>
        <v/>
      </c>
      <c r="AV7" s="36">
        <f>AU7-1</f>
        <v/>
      </c>
      <c r="AW7" s="36">
        <f>AV7-1</f>
        <v/>
      </c>
      <c r="AX7" s="36">
        <f>AW7-1</f>
        <v/>
      </c>
      <c r="AY7" s="36">
        <f>AX7-1</f>
        <v/>
      </c>
      <c r="AZ7" s="36">
        <f>AY7-1</f>
        <v/>
      </c>
      <c r="BA7" s="36">
        <f>AZ7-1</f>
        <v/>
      </c>
      <c r="BB7" s="36">
        <f>BA7-1</f>
        <v/>
      </c>
      <c r="BC7" s="36">
        <f>BB7-1</f>
        <v/>
      </c>
      <c r="BD7" s="36">
        <f>BC7-1</f>
        <v/>
      </c>
    </row>
    <row r="8">
      <c r="D8" s="21" t="inlineStr">
        <is>
          <t>Word</t>
        </is>
      </c>
      <c r="E8" s="22" t="inlineStr">
        <is>
          <t>SDAC 1</t>
        </is>
      </c>
      <c r="F8" s="30" t="n"/>
      <c r="G8" s="28" t="n"/>
      <c r="H8" s="28" t="n"/>
      <c r="I8" s="28" t="n"/>
      <c r="J8" s="28" t="n"/>
      <c r="K8" s="28" t="n"/>
      <c r="L8" s="31" t="n"/>
      <c r="M8" s="32" t="inlineStr">
        <is>
          <t>31..28</t>
        </is>
      </c>
      <c r="N8" s="32" t="inlineStr">
        <is>
          <t>27..24</t>
        </is>
      </c>
      <c r="O8" s="32" t="inlineStr">
        <is>
          <t>23..20</t>
        </is>
      </c>
      <c r="P8" s="32" t="inlineStr">
        <is>
          <t>19..16</t>
        </is>
      </c>
      <c r="Q8" s="32" t="inlineStr">
        <is>
          <t>15..12</t>
        </is>
      </c>
      <c r="R8" s="32" t="inlineStr">
        <is>
          <t>11..8</t>
        </is>
      </c>
      <c r="S8" s="32" t="inlineStr">
        <is>
          <t>7..4</t>
        </is>
      </c>
      <c r="T8" s="32" t="inlineStr">
        <is>
          <t>3..0</t>
        </is>
      </c>
      <c r="U8" s="28" t="n"/>
      <c r="V8" s="28" t="n"/>
      <c r="W8" s="28" t="n"/>
      <c r="X8" s="28" t="n"/>
      <c r="Y8" s="58" t="inlineStr">
        <is>
          <t>P</t>
        </is>
      </c>
      <c r="Z8" s="59" t="inlineStr">
        <is>
          <t>M</t>
        </is>
      </c>
      <c r="AA8" s="60" t="n"/>
      <c r="AB8" s="61" t="inlineStr">
        <is>
          <t>DATA</t>
        </is>
      </c>
      <c r="AC8" s="48" t="n"/>
      <c r="AD8" s="48" t="n"/>
      <c r="AE8" s="48" t="n"/>
      <c r="AF8" s="48" t="n"/>
      <c r="AG8" s="48" t="n"/>
      <c r="AH8" s="48" t="n"/>
      <c r="AI8" s="48" t="n"/>
      <c r="AJ8" s="48" t="n"/>
      <c r="AK8" s="48" t="n"/>
      <c r="AL8" s="48" t="n"/>
      <c r="AM8" s="48" t="n"/>
      <c r="AN8" s="48" t="n"/>
      <c r="AO8" s="48" t="n"/>
      <c r="AP8" s="48" t="n"/>
      <c r="AQ8" s="48" t="n"/>
      <c r="AR8" s="48" t="n"/>
      <c r="AS8" s="48" t="n"/>
      <c r="AT8" s="49" t="n"/>
      <c r="AU8" s="62" t="n"/>
      <c r="AV8" s="63" t="n"/>
      <c r="AW8" s="50" t="inlineStr">
        <is>
          <t>lab</t>
        </is>
      </c>
      <c r="AX8" s="51" t="n"/>
      <c r="AY8" s="52" t="n"/>
      <c r="AZ8" s="53" t="inlineStr">
        <is>
          <t>lab</t>
        </is>
      </c>
      <c r="BA8" s="54" t="n"/>
      <c r="BB8" s="55" t="n"/>
      <c r="BC8" s="56" t="inlineStr">
        <is>
          <t>lab</t>
        </is>
      </c>
      <c r="BD8" s="57" t="n"/>
    </row>
    <row r="9">
      <c r="D9" s="23" t="inlineStr">
        <is>
          <t>057</t>
        </is>
      </c>
      <c r="E9" s="24" t="inlineStr">
        <is>
          <t>17980AF4</t>
        </is>
      </c>
      <c r="F9" s="33" t="n"/>
      <c r="G9" s="28" t="n"/>
      <c r="H9" s="28" t="n"/>
      <c r="I9" s="28" t="n"/>
      <c r="J9" s="28" t="n"/>
      <c r="K9" s="28" t="n"/>
      <c r="L9" s="28" t="n"/>
      <c r="M9" s="28">
        <f>HEX2BIN(MID($E9,COLUMN()-(COLUMN($M9)-1),1),4)</f>
        <v/>
      </c>
      <c r="N9" s="28">
        <f>HEX2BIN(MID($E9,COLUMN()-(COLUMN($M9)-1),1),4)</f>
        <v/>
      </c>
      <c r="O9" s="28">
        <f>HEX2BIN(MID($E9,COLUMN()-(COLUMN($M9)-1),1),4)</f>
        <v/>
      </c>
      <c r="P9" s="28">
        <f>HEX2BIN(MID($E9,COLUMN()-(COLUMN($M9)-1),1),4)</f>
        <v/>
      </c>
      <c r="Q9" s="28">
        <f>HEX2BIN(MID($E9,COLUMN()-(COLUMN($M9)-1),1),4)</f>
        <v/>
      </c>
      <c r="R9" s="28">
        <f>HEX2BIN(MID($E9,COLUMN()-(COLUMN($M9)-1),1),4)</f>
        <v/>
      </c>
      <c r="S9" s="28">
        <f>HEX2BIN(MID($E9,COLUMN()-(COLUMN($M9)-1),1),4)</f>
        <v/>
      </c>
      <c r="T9" s="28">
        <f>HEX2BIN(MID($E9,COLUMN()-(COLUMN($M9)-1),1),4)</f>
        <v/>
      </c>
      <c r="U9" s="28" t="n"/>
      <c r="V9" s="28" t="n"/>
      <c r="W9" s="28" t="n"/>
      <c r="X9" s="28" t="n"/>
      <c r="Y9" s="34">
        <f>MID($M9,COLUMN()-(COLUMN($Y9)-1),1)</f>
        <v/>
      </c>
      <c r="Z9" s="34">
        <f>MID($M9,COLUMN()-(COLUMN($Y9)-1),1)</f>
        <v/>
      </c>
      <c r="AA9" s="34">
        <f>MID($M9,COLUMN()-(COLUMN($Y9)-1),1)</f>
        <v/>
      </c>
      <c r="AB9" s="34">
        <f>MID($M9,COLUMN()-(COLUMN($Y9)-1),1)</f>
        <v/>
      </c>
      <c r="AC9" s="34">
        <f>MID($N9,COLUMN()-(COLUMN($AC9)-1),1)</f>
        <v/>
      </c>
      <c r="AD9" s="34">
        <f>MID($N9,COLUMN()-(COLUMN($AC9)-1),1)</f>
        <v/>
      </c>
      <c r="AE9" s="34">
        <f>MID($N9,COLUMN()-(COLUMN($AC9)-1),1)</f>
        <v/>
      </c>
      <c r="AF9" s="34">
        <f>MID($N9,COLUMN()-(COLUMN($AC9)-1),1)</f>
        <v/>
      </c>
      <c r="AG9" s="34">
        <f>MID($O9,COLUMN()-(COLUMN($AG9)-1),1)</f>
        <v/>
      </c>
      <c r="AH9" s="34">
        <f>MID($O9,COLUMN()-(COLUMN($AG9)-1),1)</f>
        <v/>
      </c>
      <c r="AI9" s="34">
        <f>MID($O9,COLUMN()-(COLUMN($AG9)-1),1)</f>
        <v/>
      </c>
      <c r="AJ9" s="34">
        <f>MID($O9,COLUMN()-(COLUMN($AG9)-1),1)</f>
        <v/>
      </c>
      <c r="AK9" s="34">
        <f>MID($P9,COLUMN()-(COLUMN($AK9)-1),1)</f>
        <v/>
      </c>
      <c r="AL9" s="34">
        <f>MID($P9,COLUMN()-(COLUMN($AK9)-1),1)</f>
        <v/>
      </c>
      <c r="AM9" s="34">
        <f>MID($P9,COLUMN()-(COLUMN($AK9)-1),1)</f>
        <v/>
      </c>
      <c r="AN9" s="34">
        <f>MID($P9,COLUMN()-(COLUMN($AK9)-1),1)</f>
        <v/>
      </c>
      <c r="AO9" s="34">
        <f>MID($Q9,COLUMN()-(COLUMN($AO9)-1),1)</f>
        <v/>
      </c>
      <c r="AP9" s="34">
        <f>MID($Q9,COLUMN()-(COLUMN($AO9)-1),1)</f>
        <v/>
      </c>
      <c r="AQ9" s="34">
        <f>MID($Q9,COLUMN()-(COLUMN($AO9)-1),1)</f>
        <v/>
      </c>
      <c r="AR9" s="34">
        <f>MID($Q9,COLUMN()-(COLUMN($AO9)-1),1)</f>
        <v/>
      </c>
      <c r="AS9" s="34">
        <f>MID($R9,COLUMN()-(COLUMN($AS9)-1),1)</f>
        <v/>
      </c>
      <c r="AT9" s="34">
        <f>MID($R9,COLUMN()-(COLUMN($AS9)-1),1)</f>
        <v/>
      </c>
      <c r="AU9" s="34">
        <f>MID($R9,COLUMN()-(COLUMN($AS9)-1),1)</f>
        <v/>
      </c>
      <c r="AV9" s="34">
        <f>MID($R9,COLUMN()-(COLUMN($AS9)-1),1)</f>
        <v/>
      </c>
      <c r="AW9" s="34">
        <f>MID($S9,COLUMN()-(COLUMN($AW9)-1),1)</f>
        <v/>
      </c>
      <c r="AX9" s="34">
        <f>MID($S9,COLUMN()-(COLUMN($AW9)-1),1)</f>
        <v/>
      </c>
      <c r="AY9" s="34">
        <f>MID($S9,COLUMN()-(COLUMN($AW9)-1),1)</f>
        <v/>
      </c>
      <c r="AZ9" s="34">
        <f>MID($S9,COLUMN()-(COLUMN($AW9)-1),1)</f>
        <v/>
      </c>
      <c r="BA9" s="34">
        <f>MID($T9,COLUMN()-(COLUMN($BA9)-1),1)</f>
        <v/>
      </c>
      <c r="BB9" s="34">
        <f>MID($T9,COLUMN()-(COLUMN($BA9)-1),1)</f>
        <v/>
      </c>
      <c r="BC9" s="34">
        <f>MID($T9,COLUMN()-(COLUMN($BA9)-1),1)</f>
        <v/>
      </c>
      <c r="BD9" s="34">
        <f>MID($T9,COLUMN()-(COLUMN($BA9)-1),1)</f>
        <v/>
      </c>
    </row>
    <row r="10">
      <c r="D10" s="25" t="n">
        <v>104</v>
      </c>
      <c r="E10" s="24" t="inlineStr">
        <is>
          <t>00180222</t>
        </is>
      </c>
      <c r="F10" s="33" t="n"/>
      <c r="G10" s="28" t="n"/>
      <c r="H10" s="28" t="n"/>
      <c r="I10" s="28" t="n"/>
      <c r="J10" s="28" t="n"/>
      <c r="K10" s="28" t="n"/>
      <c r="L10" s="28" t="n"/>
      <c r="M10" s="28">
        <f>HEX2BIN(MID($E10,COLUMN()-(COLUMN($M10)-1),1),4)</f>
        <v/>
      </c>
      <c r="N10" s="28">
        <f>HEX2BIN(MID($E10,COLUMN()-(COLUMN($M10)-1),1),4)</f>
        <v/>
      </c>
      <c r="O10" s="28">
        <f>HEX2BIN(MID($E10,COLUMN()-(COLUMN($M10)-1),1),4)</f>
        <v/>
      </c>
      <c r="P10" s="28">
        <f>HEX2BIN(MID($E10,COLUMN()-(COLUMN($M10)-1),1),4)</f>
        <v/>
      </c>
      <c r="Q10" s="28">
        <f>HEX2BIN(MID($E10,COLUMN()-(COLUMN($M10)-1),1),4)</f>
        <v/>
      </c>
      <c r="R10" s="28">
        <f>HEX2BIN(MID($E10,COLUMN()-(COLUMN($M10)-1),1),4)</f>
        <v/>
      </c>
      <c r="S10" s="28">
        <f>HEX2BIN(MID($E10,COLUMN()-(COLUMN($M10)-1),1),4)</f>
        <v/>
      </c>
      <c r="T10" s="28">
        <f>HEX2BIN(MID($E10,COLUMN()-(COLUMN($M10)-1),1),4)</f>
        <v/>
      </c>
      <c r="U10" s="28" t="n"/>
      <c r="V10" s="28" t="n"/>
      <c r="W10" s="28" t="n"/>
      <c r="X10" s="28" t="n"/>
      <c r="Y10" s="34">
        <f>MID($M10,COLUMN()-(COLUMN($Y10)-1),1)</f>
        <v/>
      </c>
      <c r="Z10" s="34">
        <f>MID($M10,COLUMN()-(COLUMN($Y10)-1),1)</f>
        <v/>
      </c>
      <c r="AA10" s="34">
        <f>MID($M10,COLUMN()-(COLUMN($Y10)-1),1)</f>
        <v/>
      </c>
      <c r="AB10" s="37">
        <f>MID($M10,COLUMN()-(COLUMN($Y10)-1),1)</f>
        <v/>
      </c>
      <c r="AC10" s="37">
        <f>MID($N10,COLUMN()-(COLUMN($AC10)-1),1)</f>
        <v/>
      </c>
      <c r="AD10" s="37">
        <f>MID($N10,COLUMN()-(COLUMN($AC10)-1),1)</f>
        <v/>
      </c>
      <c r="AE10" s="35">
        <f>MID($N10,COLUMN()-(COLUMN($AC10)-1),1)</f>
        <v/>
      </c>
      <c r="AF10" s="35">
        <f>MID($N10,COLUMN()-(COLUMN($AC10)-1),1)</f>
        <v/>
      </c>
      <c r="AG10" s="35">
        <f>MID($O10,COLUMN()-(COLUMN($AG10)-1),1)</f>
        <v/>
      </c>
      <c r="AH10" s="35">
        <f>MID($O10,COLUMN()-(COLUMN($AG10)-1),1)</f>
        <v/>
      </c>
      <c r="AI10" s="35">
        <f>MID($O10,COLUMN()-(COLUMN($AG10)-1),1)</f>
        <v/>
      </c>
      <c r="AJ10" s="35">
        <f>MID($O10,COLUMN()-(COLUMN($AG10)-1),1)</f>
        <v/>
      </c>
      <c r="AK10" s="35">
        <f>MID($P10,COLUMN()-(COLUMN($AK10)-1),1)</f>
        <v/>
      </c>
      <c r="AL10" s="35">
        <f>MID($P10,COLUMN()-(COLUMN($AK10)-1),1)</f>
        <v/>
      </c>
      <c r="AM10" s="35">
        <f>MID($P10,COLUMN()-(COLUMN($AK10)-1),1)</f>
        <v/>
      </c>
      <c r="AN10" s="35">
        <f>MID($P10,COLUMN()-(COLUMN($AK10)-1),1)</f>
        <v/>
      </c>
      <c r="AO10" s="35">
        <f>MID($Q10,COLUMN()-(COLUMN($AO10)-1),1)</f>
        <v/>
      </c>
      <c r="AP10" s="35">
        <f>MID($Q10,COLUMN()-(COLUMN($AO10)-1),1)</f>
        <v/>
      </c>
      <c r="AQ10" s="35">
        <f>MID($Q10,COLUMN()-(COLUMN($AO10)-1),1)</f>
        <v/>
      </c>
      <c r="AR10" s="35">
        <f>MID($Q10,COLUMN()-(COLUMN($AO10)-1),1)</f>
        <v/>
      </c>
      <c r="AS10" s="35">
        <f>MID($R10,COLUMN()-(COLUMN($AS10)-1),1)</f>
        <v/>
      </c>
      <c r="AT10" s="35">
        <f>MID($R10,COLUMN()-(COLUMN($AS10)-1),1)</f>
        <v/>
      </c>
      <c r="AU10" s="34">
        <f>MID($R10,COLUMN()-(COLUMN($AS10)-1),1)</f>
        <v/>
      </c>
      <c r="AV10" s="34">
        <f>MID($R10,COLUMN()-(COLUMN($AS10)-1),1)</f>
        <v/>
      </c>
      <c r="AW10" s="34">
        <f>MID($S10,COLUMN()-(COLUMN($AW10)-1),1)</f>
        <v/>
      </c>
      <c r="AX10" s="34">
        <f>MID($S10,COLUMN()-(COLUMN($AW10)-1),1)</f>
        <v/>
      </c>
      <c r="AY10" s="34">
        <f>MID($S10,COLUMN()-(COLUMN($AW10)-1),1)</f>
        <v/>
      </c>
      <c r="AZ10" s="34">
        <f>MID($S10,COLUMN()-(COLUMN($AW10)-1),1)</f>
        <v/>
      </c>
      <c r="BA10" s="34">
        <f>MID($T10,COLUMN()-(COLUMN($BA10)-1),1)</f>
        <v/>
      </c>
      <c r="BB10" s="34">
        <f>MID($T10,COLUMN()-(COLUMN($BA10)-1),1)</f>
        <v/>
      </c>
      <c r="BC10" s="34">
        <f>MID($T10,COLUMN()-(COLUMN($BA10)-1),1)</f>
        <v/>
      </c>
      <c r="BD10" s="34">
        <f>MID($T10,COLUMN()-(COLUMN($BA10)-1),1)</f>
        <v/>
      </c>
    </row>
    <row r="11">
      <c r="D11" s="25" t="n">
        <v>105</v>
      </c>
      <c r="E11" s="24" t="inlineStr">
        <is>
          <t>0022E2A2</t>
        </is>
      </c>
      <c r="F11" s="33" t="n"/>
      <c r="G11" s="28" t="n"/>
      <c r="H11" s="28" t="n"/>
      <c r="I11" s="28" t="n"/>
      <c r="J11" s="28" t="n"/>
      <c r="K11" s="28" t="n"/>
      <c r="L11" s="28" t="n"/>
      <c r="M11" s="28">
        <f>HEX2BIN(MID($E11,COLUMN()-(COLUMN($M11)-1),1),4)</f>
        <v/>
      </c>
      <c r="N11" s="28">
        <f>HEX2BIN(MID($E11,COLUMN()-(COLUMN($M11)-1),1),4)</f>
        <v/>
      </c>
      <c r="O11" s="28">
        <f>HEX2BIN(MID($E11,COLUMN()-(COLUMN($M11)-1),1),4)</f>
        <v/>
      </c>
      <c r="P11" s="28">
        <f>HEX2BIN(MID($E11,COLUMN()-(COLUMN($M11)-1),1),4)</f>
        <v/>
      </c>
      <c r="Q11" s="28">
        <f>HEX2BIN(MID($E11,COLUMN()-(COLUMN($M11)-1),1),4)</f>
        <v/>
      </c>
      <c r="R11" s="28">
        <f>HEX2BIN(MID($E11,COLUMN()-(COLUMN($M11)-1),1),4)</f>
        <v/>
      </c>
      <c r="S11" s="28">
        <f>HEX2BIN(MID($E11,COLUMN()-(COLUMN($M11)-1),1),4)</f>
        <v/>
      </c>
      <c r="T11" s="28">
        <f>HEX2BIN(MID($E11,COLUMN()-(COLUMN($M11)-1),1),4)</f>
        <v/>
      </c>
      <c r="U11" s="28" t="n"/>
      <c r="V11" s="28" t="n"/>
      <c r="W11" s="28" t="n"/>
      <c r="X11" s="28" t="n"/>
      <c r="Y11" s="34">
        <f>MID($M11,COLUMN()-(COLUMN($Y11)-1),1)</f>
        <v/>
      </c>
      <c r="Z11" s="34">
        <f>MID($M11,COLUMN()-(COLUMN($Y11)-1),1)</f>
        <v/>
      </c>
      <c r="AA11" s="34">
        <f>MID($M11,COLUMN()-(COLUMN($Y11)-1),1)</f>
        <v/>
      </c>
      <c r="AB11" s="37">
        <f>MID($M11,COLUMN()-(COLUMN($Y11)-1),1)</f>
        <v/>
      </c>
      <c r="AC11" s="37">
        <f>MID($N11,COLUMN()-(COLUMN($AC11)-1),1)</f>
        <v/>
      </c>
      <c r="AD11" s="37">
        <f>MID($N11,COLUMN()-(COLUMN($AC11)-1),1)</f>
        <v/>
      </c>
      <c r="AE11" s="35">
        <f>MID($N11,COLUMN()-(COLUMN($AC11)-1),1)</f>
        <v/>
      </c>
      <c r="AF11" s="35">
        <f>MID($N11,COLUMN()-(COLUMN($AC11)-1),1)</f>
        <v/>
      </c>
      <c r="AG11" s="35">
        <f>MID($O11,COLUMN()-(COLUMN($AG11)-1),1)</f>
        <v/>
      </c>
      <c r="AH11" s="35">
        <f>MID($O11,COLUMN()-(COLUMN($AG11)-1),1)</f>
        <v/>
      </c>
      <c r="AI11" s="35">
        <f>MID($O11,COLUMN()-(COLUMN($AG11)-1),1)</f>
        <v/>
      </c>
      <c r="AJ11" s="35">
        <f>MID($O11,COLUMN()-(COLUMN($AG11)-1),1)</f>
        <v/>
      </c>
      <c r="AK11" s="35">
        <f>MID($P11,COLUMN()-(COLUMN($AK11)-1),1)</f>
        <v/>
      </c>
      <c r="AL11" s="35">
        <f>MID($P11,COLUMN()-(COLUMN($AK11)-1),1)</f>
        <v/>
      </c>
      <c r="AM11" s="35">
        <f>MID($P11,COLUMN()-(COLUMN($AK11)-1),1)</f>
        <v/>
      </c>
      <c r="AN11" s="35">
        <f>MID($P11,COLUMN()-(COLUMN($AK11)-1),1)</f>
        <v/>
      </c>
      <c r="AO11" s="35">
        <f>MID($Q11,COLUMN()-(COLUMN($AO11)-1),1)</f>
        <v/>
      </c>
      <c r="AP11" s="35">
        <f>MID($Q11,COLUMN()-(COLUMN($AO11)-1),1)</f>
        <v/>
      </c>
      <c r="AQ11" s="35">
        <f>MID($Q11,COLUMN()-(COLUMN($AO11)-1),1)</f>
        <v/>
      </c>
      <c r="AR11" s="35">
        <f>MID($Q11,COLUMN()-(COLUMN($AO11)-1),1)</f>
        <v/>
      </c>
      <c r="AS11" s="35">
        <f>MID($R11,COLUMN()-(COLUMN($AS11)-1),1)</f>
        <v/>
      </c>
      <c r="AT11" s="35">
        <f>MID($R11,COLUMN()-(COLUMN($AS11)-1),1)</f>
        <v/>
      </c>
      <c r="AU11" s="34">
        <f>MID($R11,COLUMN()-(COLUMN($AS11)-1),1)</f>
        <v/>
      </c>
      <c r="AV11" s="34">
        <f>MID($R11,COLUMN()-(COLUMN($AS11)-1),1)</f>
        <v/>
      </c>
      <c r="AW11" s="34">
        <f>MID($S11,COLUMN()-(COLUMN($AW11)-1),1)</f>
        <v/>
      </c>
      <c r="AX11" s="34">
        <f>MID($S11,COLUMN()-(COLUMN($AW11)-1),1)</f>
        <v/>
      </c>
      <c r="AY11" s="34">
        <f>MID($S11,COLUMN()-(COLUMN($AW11)-1),1)</f>
        <v/>
      </c>
      <c r="AZ11" s="34">
        <f>MID($S11,COLUMN()-(COLUMN($AW11)-1),1)</f>
        <v/>
      </c>
      <c r="BA11" s="34">
        <f>MID($T11,COLUMN()-(COLUMN($BA11)-1),1)</f>
        <v/>
      </c>
      <c r="BB11" s="34">
        <f>MID($T11,COLUMN()-(COLUMN($BA11)-1),1)</f>
        <v/>
      </c>
      <c r="BC11" s="34">
        <f>MID($T11,COLUMN()-(COLUMN($BA11)-1),1)</f>
        <v/>
      </c>
      <c r="BD11" s="34">
        <f>MID($T11,COLUMN()-(COLUMN($BA11)-1),1)</f>
        <v/>
      </c>
    </row>
    <row r="12">
      <c r="D12" s="25" t="n">
        <v>106</v>
      </c>
      <c r="E12" s="24" t="inlineStr">
        <is>
          <t>00500662</t>
        </is>
      </c>
      <c r="F12" s="33" t="n"/>
      <c r="G12" s="28" t="n"/>
      <c r="H12" s="28" t="n"/>
      <c r="I12" s="28" t="n"/>
      <c r="J12" s="28" t="n"/>
      <c r="K12" s="28" t="n"/>
      <c r="L12" s="28" t="n"/>
      <c r="M12" s="28">
        <f>HEX2BIN(MID($E12,COLUMN()-(COLUMN($M12)-1),1),4)</f>
        <v/>
      </c>
      <c r="N12" s="28">
        <f>HEX2BIN(MID($E12,COLUMN()-(COLUMN($M12)-1),1),4)</f>
        <v/>
      </c>
      <c r="O12" s="28">
        <f>HEX2BIN(MID($E12,COLUMN()-(COLUMN($M12)-1),1),4)</f>
        <v/>
      </c>
      <c r="P12" s="28">
        <f>HEX2BIN(MID($E12,COLUMN()-(COLUMN($M12)-1),1),4)</f>
        <v/>
      </c>
      <c r="Q12" s="28">
        <f>HEX2BIN(MID($E12,COLUMN()-(COLUMN($M12)-1),1),4)</f>
        <v/>
      </c>
      <c r="R12" s="28">
        <f>HEX2BIN(MID($E12,COLUMN()-(COLUMN($M12)-1),1),4)</f>
        <v/>
      </c>
      <c r="S12" s="28">
        <f>HEX2BIN(MID($E12,COLUMN()-(COLUMN($M12)-1),1),4)</f>
        <v/>
      </c>
      <c r="T12" s="28">
        <f>HEX2BIN(MID($E12,COLUMN()-(COLUMN($M12)-1),1),4)</f>
        <v/>
      </c>
      <c r="U12" s="28" t="n"/>
      <c r="V12" s="28" t="n"/>
      <c r="W12" s="28" t="n"/>
      <c r="X12" s="28" t="n"/>
      <c r="Y12" s="34">
        <f>MID($M12,COLUMN()-(COLUMN($Y12)-1),1)</f>
        <v/>
      </c>
      <c r="Z12" s="34">
        <f>MID($M12,COLUMN()-(COLUMN($Y12)-1),1)</f>
        <v/>
      </c>
      <c r="AA12" s="34">
        <f>MID($M12,COLUMN()-(COLUMN($Y12)-1),1)</f>
        <v/>
      </c>
      <c r="AB12" s="37">
        <f>MID($M12,COLUMN()-(COLUMN($Y12)-1),1)</f>
        <v/>
      </c>
      <c r="AC12" s="37">
        <f>MID($N12,COLUMN()-(COLUMN($AC12)-1),1)</f>
        <v/>
      </c>
      <c r="AD12" s="37">
        <f>MID($N12,COLUMN()-(COLUMN($AC12)-1),1)</f>
        <v/>
      </c>
      <c r="AE12" s="35">
        <f>MID($N12,COLUMN()-(COLUMN($AC12)-1),1)</f>
        <v/>
      </c>
      <c r="AF12" s="35">
        <f>MID($N12,COLUMN()-(COLUMN($AC12)-1),1)</f>
        <v/>
      </c>
      <c r="AG12" s="35">
        <f>MID($O12,COLUMN()-(COLUMN($AG12)-1),1)</f>
        <v/>
      </c>
      <c r="AH12" s="35">
        <f>MID($O12,COLUMN()-(COLUMN($AG12)-1),1)</f>
        <v/>
      </c>
      <c r="AI12" s="35">
        <f>MID($O12,COLUMN()-(COLUMN($AG12)-1),1)</f>
        <v/>
      </c>
      <c r="AJ12" s="35">
        <f>MID($O12,COLUMN()-(COLUMN($AG12)-1),1)</f>
        <v/>
      </c>
      <c r="AK12" s="35">
        <f>MID($P12,COLUMN()-(COLUMN($AK12)-1),1)</f>
        <v/>
      </c>
      <c r="AL12" s="35">
        <f>MID($P12,COLUMN()-(COLUMN($AK12)-1),1)</f>
        <v/>
      </c>
      <c r="AM12" s="35">
        <f>MID($P12,COLUMN()-(COLUMN($AK12)-1),1)</f>
        <v/>
      </c>
      <c r="AN12" s="35">
        <f>MID($P12,COLUMN()-(COLUMN($AK12)-1),1)</f>
        <v/>
      </c>
      <c r="AO12" s="35">
        <f>MID($Q12,COLUMN()-(COLUMN($AO12)-1),1)</f>
        <v/>
      </c>
      <c r="AP12" s="35">
        <f>MID($Q12,COLUMN()-(COLUMN($AO12)-1),1)</f>
        <v/>
      </c>
      <c r="AQ12" s="35">
        <f>MID($Q12,COLUMN()-(COLUMN($AO12)-1),1)</f>
        <v/>
      </c>
      <c r="AR12" s="35">
        <f>MID($Q12,COLUMN()-(COLUMN($AO12)-1),1)</f>
        <v/>
      </c>
      <c r="AS12" s="35">
        <f>MID($R12,COLUMN()-(COLUMN($AS12)-1),1)</f>
        <v/>
      </c>
      <c r="AT12" s="35">
        <f>MID($R12,COLUMN()-(COLUMN($AS12)-1),1)</f>
        <v/>
      </c>
      <c r="AU12" s="34">
        <f>MID($R12,COLUMN()-(COLUMN($AS12)-1),1)</f>
        <v/>
      </c>
      <c r="AV12" s="34">
        <f>MID($R12,COLUMN()-(COLUMN($AS12)-1),1)</f>
        <v/>
      </c>
      <c r="AW12" s="34">
        <f>MID($S12,COLUMN()-(COLUMN($AW12)-1),1)</f>
        <v/>
      </c>
      <c r="AX12" s="34">
        <f>MID($S12,COLUMN()-(COLUMN($AW12)-1),1)</f>
        <v/>
      </c>
      <c r="AY12" s="34">
        <f>MID($S12,COLUMN()-(COLUMN($AW12)-1),1)</f>
        <v/>
      </c>
      <c r="AZ12" s="34">
        <f>MID($S12,COLUMN()-(COLUMN($AW12)-1),1)</f>
        <v/>
      </c>
      <c r="BA12" s="34">
        <f>MID($T12,COLUMN()-(COLUMN($BA12)-1),1)</f>
        <v/>
      </c>
      <c r="BB12" s="34">
        <f>MID($T12,COLUMN()-(COLUMN($BA12)-1),1)</f>
        <v/>
      </c>
      <c r="BC12" s="34">
        <f>MID($T12,COLUMN()-(COLUMN($BA12)-1),1)</f>
        <v/>
      </c>
      <c r="BD12" s="34">
        <f>MID($T12,COLUMN()-(COLUMN($BA12)-1),1)</f>
        <v/>
      </c>
    </row>
    <row r="13">
      <c r="D13" s="25" t="n">
        <v>107</v>
      </c>
      <c r="E13" s="24" t="inlineStr">
        <is>
          <t>008322E2</t>
        </is>
      </c>
      <c r="F13" s="33" t="n"/>
      <c r="G13" s="28" t="n"/>
      <c r="H13" s="28" t="n"/>
      <c r="I13" s="28" t="n"/>
      <c r="J13" s="28" t="n"/>
      <c r="K13" s="28" t="n"/>
      <c r="L13" s="28" t="n"/>
      <c r="M13" s="28">
        <f>HEX2BIN(MID($E13,COLUMN()-(COLUMN($M13)-1),1),4)</f>
        <v/>
      </c>
      <c r="N13" s="28">
        <f>HEX2BIN(MID($E13,COLUMN()-(COLUMN($M13)-1),1),4)</f>
        <v/>
      </c>
      <c r="O13" s="28">
        <f>HEX2BIN(MID($E13,COLUMN()-(COLUMN($M13)-1),1),4)</f>
        <v/>
      </c>
      <c r="P13" s="28">
        <f>HEX2BIN(MID($E13,COLUMN()-(COLUMN($M13)-1),1),4)</f>
        <v/>
      </c>
      <c r="Q13" s="28">
        <f>HEX2BIN(MID($E13,COLUMN()-(COLUMN($M13)-1),1),4)</f>
        <v/>
      </c>
      <c r="R13" s="28">
        <f>HEX2BIN(MID($E13,COLUMN()-(COLUMN($M13)-1),1),4)</f>
        <v/>
      </c>
      <c r="S13" s="28">
        <f>HEX2BIN(MID($E13,COLUMN()-(COLUMN($M13)-1),1),4)</f>
        <v/>
      </c>
      <c r="T13" s="28">
        <f>HEX2BIN(MID($E13,COLUMN()-(COLUMN($M13)-1),1),4)</f>
        <v/>
      </c>
      <c r="U13" s="28" t="n"/>
      <c r="V13" s="28" t="n"/>
      <c r="W13" s="28" t="n"/>
      <c r="X13" s="28" t="n"/>
      <c r="Y13" s="34">
        <f>MID($M13,COLUMN()-(COLUMN($Y13)-1),1)</f>
        <v/>
      </c>
      <c r="Z13" s="34">
        <f>MID($M13,COLUMN()-(COLUMN($Y13)-1),1)</f>
        <v/>
      </c>
      <c r="AA13" s="34">
        <f>MID($M13,COLUMN()-(COLUMN($Y13)-1),1)</f>
        <v/>
      </c>
      <c r="AB13" s="37">
        <f>MID($M13,COLUMN()-(COLUMN($Y13)-1),1)</f>
        <v/>
      </c>
      <c r="AC13" s="37">
        <f>MID($N13,COLUMN()-(COLUMN($AC13)-1),1)</f>
        <v/>
      </c>
      <c r="AD13" s="37">
        <f>MID($N13,COLUMN()-(COLUMN($AC13)-1),1)</f>
        <v/>
      </c>
      <c r="AE13" s="35">
        <f>MID($N13,COLUMN()-(COLUMN($AC13)-1),1)</f>
        <v/>
      </c>
      <c r="AF13" s="35">
        <f>MID($N13,COLUMN()-(COLUMN($AC13)-1),1)</f>
        <v/>
      </c>
      <c r="AG13" s="35">
        <f>MID($O13,COLUMN()-(COLUMN($AG13)-1),1)</f>
        <v/>
      </c>
      <c r="AH13" s="35">
        <f>MID($O13,COLUMN()-(COLUMN($AG13)-1),1)</f>
        <v/>
      </c>
      <c r="AI13" s="35">
        <f>MID($O13,COLUMN()-(COLUMN($AG13)-1),1)</f>
        <v/>
      </c>
      <c r="AJ13" s="35">
        <f>MID($O13,COLUMN()-(COLUMN($AG13)-1),1)</f>
        <v/>
      </c>
      <c r="AK13" s="35">
        <f>MID($P13,COLUMN()-(COLUMN($AK13)-1),1)</f>
        <v/>
      </c>
      <c r="AL13" s="35">
        <f>MID($P13,COLUMN()-(COLUMN($AK13)-1),1)</f>
        <v/>
      </c>
      <c r="AM13" s="35">
        <f>MID($P13,COLUMN()-(COLUMN($AK13)-1),1)</f>
        <v/>
      </c>
      <c r="AN13" s="35">
        <f>MID($P13,COLUMN()-(COLUMN($AK13)-1),1)</f>
        <v/>
      </c>
      <c r="AO13" s="35">
        <f>MID($Q13,COLUMN()-(COLUMN($AO13)-1),1)</f>
        <v/>
      </c>
      <c r="AP13" s="35">
        <f>MID($Q13,COLUMN()-(COLUMN($AO13)-1),1)</f>
        <v/>
      </c>
      <c r="AQ13" s="35">
        <f>MID($Q13,COLUMN()-(COLUMN($AO13)-1),1)</f>
        <v/>
      </c>
      <c r="AR13" s="35">
        <f>MID($Q13,COLUMN()-(COLUMN($AO13)-1),1)</f>
        <v/>
      </c>
      <c r="AS13" s="35">
        <f>MID($R13,COLUMN()-(COLUMN($AS13)-1),1)</f>
        <v/>
      </c>
      <c r="AT13" s="35">
        <f>MID($R13,COLUMN()-(COLUMN($AS13)-1),1)</f>
        <v/>
      </c>
      <c r="AU13" s="34">
        <f>MID($R13,COLUMN()-(COLUMN($AS13)-1),1)</f>
        <v/>
      </c>
      <c r="AV13" s="34">
        <f>MID($R13,COLUMN()-(COLUMN($AS13)-1),1)</f>
        <v/>
      </c>
      <c r="AW13" s="34">
        <f>MID($S13,COLUMN()-(COLUMN($AW13)-1),1)</f>
        <v/>
      </c>
      <c r="AX13" s="34">
        <f>MID($S13,COLUMN()-(COLUMN($AW13)-1),1)</f>
        <v/>
      </c>
      <c r="AY13" s="34">
        <f>MID($S13,COLUMN()-(COLUMN($AW13)-1),1)</f>
        <v/>
      </c>
      <c r="AZ13" s="34">
        <f>MID($S13,COLUMN()-(COLUMN($AW13)-1),1)</f>
        <v/>
      </c>
      <c r="BA13" s="34">
        <f>MID($T13,COLUMN()-(COLUMN($BA13)-1),1)</f>
        <v/>
      </c>
      <c r="BB13" s="34">
        <f>MID($T13,COLUMN()-(COLUMN($BA13)-1),1)</f>
        <v/>
      </c>
      <c r="BC13" s="34">
        <f>MID($T13,COLUMN()-(COLUMN($BA13)-1),1)</f>
        <v/>
      </c>
      <c r="BD13" s="34">
        <f>MID($T13,COLUMN()-(COLUMN($BA13)-1),1)</f>
        <v/>
      </c>
    </row>
    <row r="14">
      <c r="D14" s="25" t="n">
        <v>110</v>
      </c>
      <c r="E14" s="24" t="inlineStr">
        <is>
          <t>00000212</t>
        </is>
      </c>
      <c r="F14" s="33" t="n"/>
      <c r="G14" s="28" t="n"/>
      <c r="H14" s="28" t="n"/>
      <c r="I14" s="28" t="n"/>
      <c r="J14" s="28" t="n"/>
      <c r="K14" s="28" t="n"/>
      <c r="L14" s="28" t="n"/>
      <c r="M14" s="28">
        <f>HEX2BIN(MID($E14,COLUMN()-(COLUMN($M14)-1),1),4)</f>
        <v/>
      </c>
      <c r="N14" s="28">
        <f>HEX2BIN(MID($E14,COLUMN()-(COLUMN($M14)-1),1),4)</f>
        <v/>
      </c>
      <c r="O14" s="28">
        <f>HEX2BIN(MID($E14,COLUMN()-(COLUMN($M14)-1),1),4)</f>
        <v/>
      </c>
      <c r="P14" s="28">
        <f>HEX2BIN(MID($E14,COLUMN()-(COLUMN($M14)-1),1),4)</f>
        <v/>
      </c>
      <c r="Q14" s="28">
        <f>HEX2BIN(MID($E14,COLUMN()-(COLUMN($M14)-1),1),4)</f>
        <v/>
      </c>
      <c r="R14" s="28">
        <f>HEX2BIN(MID($E14,COLUMN()-(COLUMN($M14)-1),1),4)</f>
        <v/>
      </c>
      <c r="S14" s="28">
        <f>HEX2BIN(MID($E14,COLUMN()-(COLUMN($M14)-1),1),4)</f>
        <v/>
      </c>
      <c r="T14" s="28">
        <f>HEX2BIN(MID($E14,COLUMN()-(COLUMN($M14)-1),1),4)</f>
        <v/>
      </c>
      <c r="U14" s="28" t="n"/>
      <c r="V14" s="28" t="n"/>
      <c r="W14" s="28" t="n"/>
      <c r="X14" s="28" t="n"/>
      <c r="Y14" s="34">
        <f>MID($M14,COLUMN()-(COLUMN($Y14)-1),1)</f>
        <v/>
      </c>
      <c r="Z14" s="34">
        <f>MID($M14,COLUMN()-(COLUMN($Y14)-1),1)</f>
        <v/>
      </c>
      <c r="AA14" s="34">
        <f>MID($M14,COLUMN()-(COLUMN($Y14)-1),1)</f>
        <v/>
      </c>
      <c r="AB14" s="37">
        <f>MID($M14,COLUMN()-(COLUMN($Y14)-1),1)</f>
        <v/>
      </c>
      <c r="AC14" s="37">
        <f>MID($N14,COLUMN()-(COLUMN($AC14)-1),1)</f>
        <v/>
      </c>
      <c r="AD14" s="37">
        <f>MID($N14,COLUMN()-(COLUMN($AC14)-1),1)</f>
        <v/>
      </c>
      <c r="AE14" s="35">
        <f>MID($N14,COLUMN()-(COLUMN($AC14)-1),1)</f>
        <v/>
      </c>
      <c r="AF14" s="35">
        <f>MID($N14,COLUMN()-(COLUMN($AC14)-1),1)</f>
        <v/>
      </c>
      <c r="AG14" s="35">
        <f>MID($O14,COLUMN()-(COLUMN($AG14)-1),1)</f>
        <v/>
      </c>
      <c r="AH14" s="35">
        <f>MID($O14,COLUMN()-(COLUMN($AG14)-1),1)</f>
        <v/>
      </c>
      <c r="AI14" s="35">
        <f>MID($O14,COLUMN()-(COLUMN($AG14)-1),1)</f>
        <v/>
      </c>
      <c r="AJ14" s="35">
        <f>MID($O14,COLUMN()-(COLUMN($AG14)-1),1)</f>
        <v/>
      </c>
      <c r="AK14" s="35">
        <f>MID($P14,COLUMN()-(COLUMN($AK14)-1),1)</f>
        <v/>
      </c>
      <c r="AL14" s="35">
        <f>MID($P14,COLUMN()-(COLUMN($AK14)-1),1)</f>
        <v/>
      </c>
      <c r="AM14" s="35">
        <f>MID($P14,COLUMN()-(COLUMN($AK14)-1),1)</f>
        <v/>
      </c>
      <c r="AN14" s="35">
        <f>MID($P14,COLUMN()-(COLUMN($AK14)-1),1)</f>
        <v/>
      </c>
      <c r="AO14" s="35">
        <f>MID($Q14,COLUMN()-(COLUMN($AO14)-1),1)</f>
        <v/>
      </c>
      <c r="AP14" s="35">
        <f>MID($Q14,COLUMN()-(COLUMN($AO14)-1),1)</f>
        <v/>
      </c>
      <c r="AQ14" s="35">
        <f>MID($Q14,COLUMN()-(COLUMN($AO14)-1),1)</f>
        <v/>
      </c>
      <c r="AR14" s="35">
        <f>MID($Q14,COLUMN()-(COLUMN($AO14)-1),1)</f>
        <v/>
      </c>
      <c r="AS14" s="35">
        <f>MID($R14,COLUMN()-(COLUMN($AS14)-1),1)</f>
        <v/>
      </c>
      <c r="AT14" s="35">
        <f>MID($R14,COLUMN()-(COLUMN($AS14)-1),1)</f>
        <v/>
      </c>
      <c r="AU14" s="34">
        <f>MID($R14,COLUMN()-(COLUMN($AS14)-1),1)</f>
        <v/>
      </c>
      <c r="AV14" s="34">
        <f>MID($R14,COLUMN()-(COLUMN($AS14)-1),1)</f>
        <v/>
      </c>
      <c r="AW14" s="34">
        <f>MID($S14,COLUMN()-(COLUMN($AW14)-1),1)</f>
        <v/>
      </c>
      <c r="AX14" s="34">
        <f>MID($S14,COLUMN()-(COLUMN($AW14)-1),1)</f>
        <v/>
      </c>
      <c r="AY14" s="34">
        <f>MID($S14,COLUMN()-(COLUMN($AW14)-1),1)</f>
        <v/>
      </c>
      <c r="AZ14" s="34">
        <f>MID($S14,COLUMN()-(COLUMN($AW14)-1),1)</f>
        <v/>
      </c>
      <c r="BA14" s="34">
        <f>MID($T14,COLUMN()-(COLUMN($BA14)-1),1)</f>
        <v/>
      </c>
      <c r="BB14" s="34">
        <f>MID($T14,COLUMN()-(COLUMN($BA14)-1),1)</f>
        <v/>
      </c>
      <c r="BC14" s="34">
        <f>MID($T14,COLUMN()-(COLUMN($BA14)-1),1)</f>
        <v/>
      </c>
      <c r="BD14" s="34">
        <f>MID($T14,COLUMN()-(COLUMN($BA14)-1),1)</f>
        <v/>
      </c>
    </row>
    <row r="15">
      <c r="D15" s="25" t="n">
        <v>111</v>
      </c>
      <c r="E15" s="24" t="inlineStr">
        <is>
          <t>80000292</t>
        </is>
      </c>
      <c r="F15" s="33" t="n"/>
      <c r="G15" s="28" t="n"/>
      <c r="H15" s="28" t="n"/>
      <c r="I15" s="28" t="n"/>
      <c r="J15" s="28" t="n"/>
      <c r="K15" s="28" t="n"/>
      <c r="L15" s="28" t="n"/>
      <c r="M15" s="28">
        <f>HEX2BIN(MID($E15,COLUMN()-(COLUMN($M15)-1),1),4)</f>
        <v/>
      </c>
      <c r="N15" s="28">
        <f>HEX2BIN(MID($E15,COLUMN()-(COLUMN($M15)-1),1),4)</f>
        <v/>
      </c>
      <c r="O15" s="28">
        <f>HEX2BIN(MID($E15,COLUMN()-(COLUMN($M15)-1),1),4)</f>
        <v/>
      </c>
      <c r="P15" s="28">
        <f>HEX2BIN(MID($E15,COLUMN()-(COLUMN($M15)-1),1),4)</f>
        <v/>
      </c>
      <c r="Q15" s="28">
        <f>HEX2BIN(MID($E15,COLUMN()-(COLUMN($M15)-1),1),4)</f>
        <v/>
      </c>
      <c r="R15" s="28">
        <f>HEX2BIN(MID($E15,COLUMN()-(COLUMN($M15)-1),1),4)</f>
        <v/>
      </c>
      <c r="S15" s="28">
        <f>HEX2BIN(MID($E15,COLUMN()-(COLUMN($M15)-1),1),4)</f>
        <v/>
      </c>
      <c r="T15" s="28">
        <f>HEX2BIN(MID($E15,COLUMN()-(COLUMN($M15)-1),1),4)</f>
        <v/>
      </c>
      <c r="U15" s="28" t="n"/>
      <c r="V15" s="28" t="n"/>
      <c r="W15" s="28" t="n"/>
      <c r="X15" s="28" t="n"/>
      <c r="Y15" s="34">
        <f>MID($M15,COLUMN()-(COLUMN($Y15)-1),1)</f>
        <v/>
      </c>
      <c r="Z15" s="34">
        <f>MID($M15,COLUMN()-(COLUMN($Y15)-1),1)</f>
        <v/>
      </c>
      <c r="AA15" s="34">
        <f>MID($M15,COLUMN()-(COLUMN($Y15)-1),1)</f>
        <v/>
      </c>
      <c r="AB15" s="37">
        <f>MID($M15,COLUMN()-(COLUMN($Y15)-1),1)</f>
        <v/>
      </c>
      <c r="AC15" s="37">
        <f>MID($N15,COLUMN()-(COLUMN($AC15)-1),1)</f>
        <v/>
      </c>
      <c r="AD15" s="37">
        <f>MID($N15,COLUMN()-(COLUMN($AC15)-1),1)</f>
        <v/>
      </c>
      <c r="AE15" s="35">
        <f>MID($N15,COLUMN()-(COLUMN($AC15)-1),1)</f>
        <v/>
      </c>
      <c r="AF15" s="35">
        <f>MID($N15,COLUMN()-(COLUMN($AC15)-1),1)</f>
        <v/>
      </c>
      <c r="AG15" s="35">
        <f>MID($O15,COLUMN()-(COLUMN($AG15)-1),1)</f>
        <v/>
      </c>
      <c r="AH15" s="35">
        <f>MID($O15,COLUMN()-(COLUMN($AG15)-1),1)</f>
        <v/>
      </c>
      <c r="AI15" s="35">
        <f>MID($O15,COLUMN()-(COLUMN($AG15)-1),1)</f>
        <v/>
      </c>
      <c r="AJ15" s="35">
        <f>MID($O15,COLUMN()-(COLUMN($AG15)-1),1)</f>
        <v/>
      </c>
      <c r="AK15" s="35">
        <f>MID($P15,COLUMN()-(COLUMN($AK15)-1),1)</f>
        <v/>
      </c>
      <c r="AL15" s="35">
        <f>MID($P15,COLUMN()-(COLUMN($AK15)-1),1)</f>
        <v/>
      </c>
      <c r="AM15" s="35">
        <f>MID($P15,COLUMN()-(COLUMN($AK15)-1),1)</f>
        <v/>
      </c>
      <c r="AN15" s="35">
        <f>MID($P15,COLUMN()-(COLUMN($AK15)-1),1)</f>
        <v/>
      </c>
      <c r="AO15" s="35">
        <f>MID($Q15,COLUMN()-(COLUMN($AO15)-1),1)</f>
        <v/>
      </c>
      <c r="AP15" s="35">
        <f>MID($Q15,COLUMN()-(COLUMN($AO15)-1),1)</f>
        <v/>
      </c>
      <c r="AQ15" s="35">
        <f>MID($Q15,COLUMN()-(COLUMN($AO15)-1),1)</f>
        <v/>
      </c>
      <c r="AR15" s="35">
        <f>MID($Q15,COLUMN()-(COLUMN($AO15)-1),1)</f>
        <v/>
      </c>
      <c r="AS15" s="35">
        <f>MID($R15,COLUMN()-(COLUMN($AS15)-1),1)</f>
        <v/>
      </c>
      <c r="AT15" s="35">
        <f>MID($R15,COLUMN()-(COLUMN($AS15)-1),1)</f>
        <v/>
      </c>
      <c r="AU15" s="34">
        <f>MID($R15,COLUMN()-(COLUMN($AS15)-1),1)</f>
        <v/>
      </c>
      <c r="AV15" s="34">
        <f>MID($R15,COLUMN()-(COLUMN($AS15)-1),1)</f>
        <v/>
      </c>
      <c r="AW15" s="34">
        <f>MID($S15,COLUMN()-(COLUMN($AW15)-1),1)</f>
        <v/>
      </c>
      <c r="AX15" s="34">
        <f>MID($S15,COLUMN()-(COLUMN($AW15)-1),1)</f>
        <v/>
      </c>
      <c r="AY15" s="34">
        <f>MID($S15,COLUMN()-(COLUMN($AW15)-1),1)</f>
        <v/>
      </c>
      <c r="AZ15" s="34">
        <f>MID($S15,COLUMN()-(COLUMN($AW15)-1),1)</f>
        <v/>
      </c>
      <c r="BA15" s="34">
        <f>MID($T15,COLUMN()-(COLUMN($BA15)-1),1)</f>
        <v/>
      </c>
      <c r="BB15" s="34">
        <f>MID($T15,COLUMN()-(COLUMN($BA15)-1),1)</f>
        <v/>
      </c>
      <c r="BC15" s="34">
        <f>MID($T15,COLUMN()-(COLUMN($BA15)-1),1)</f>
        <v/>
      </c>
      <c r="BD15" s="34">
        <f>MID($T15,COLUMN()-(COLUMN($BA15)-1),1)</f>
        <v/>
      </c>
    </row>
    <row r="16">
      <c r="D16" s="26" t="n">
        <v>144</v>
      </c>
      <c r="E16" s="24" t="n">
        <v>86000226</v>
      </c>
      <c r="F16" s="33" t="n"/>
      <c r="G16" s="28" t="n"/>
      <c r="H16" s="28" t="n"/>
      <c r="I16" s="28" t="n"/>
      <c r="J16" s="28" t="n"/>
      <c r="K16" s="28" t="n"/>
      <c r="L16" s="28" t="n"/>
      <c r="M16" s="28">
        <f>HEX2BIN(MID($E16,COLUMN()-(COLUMN($M16)-1),1),4)</f>
        <v/>
      </c>
      <c r="N16" s="28">
        <f>HEX2BIN(MID($E16,COLUMN()-(COLUMN($M16)-1),1),4)</f>
        <v/>
      </c>
      <c r="O16" s="28">
        <f>HEX2BIN(MID($E16,COLUMN()-(COLUMN($M16)-1),1),4)</f>
        <v/>
      </c>
      <c r="P16" s="28">
        <f>HEX2BIN(MID($E16,COLUMN()-(COLUMN($M16)-1),1),4)</f>
        <v/>
      </c>
      <c r="Q16" s="28">
        <f>HEX2BIN(MID($E16,COLUMN()-(COLUMN($M16)-1),1),4)</f>
        <v/>
      </c>
      <c r="R16" s="28">
        <f>HEX2BIN(MID($E16,COLUMN()-(COLUMN($M16)-1),1),4)</f>
        <v/>
      </c>
      <c r="S16" s="28">
        <f>HEX2BIN(MID($E16,COLUMN()-(COLUMN($M16)-1),1),4)</f>
        <v/>
      </c>
      <c r="T16" s="28">
        <f>HEX2BIN(MID($E16,COLUMN()-(COLUMN($M16)-1),1),4)</f>
        <v/>
      </c>
      <c r="U16" s="28" t="n"/>
      <c r="V16" s="28" t="n"/>
      <c r="W16" s="28" t="n"/>
      <c r="X16" s="28" t="n"/>
      <c r="Y16" s="34">
        <f>MID($M16,COLUMN()-(COLUMN($Y16)-1),1)</f>
        <v/>
      </c>
      <c r="Z16" s="34">
        <f>MID($M16,COLUMN()-(COLUMN($Y16)-1),1)</f>
        <v/>
      </c>
      <c r="AA16" s="34">
        <f>MID($M16,COLUMN()-(COLUMN($Y16)-1),1)</f>
        <v/>
      </c>
      <c r="AB16" s="34">
        <f>MID($M16,COLUMN()-(COLUMN($Y16)-1),1)</f>
        <v/>
      </c>
      <c r="AC16" s="34">
        <f>MID($N16,COLUMN()-(COLUMN($AC16)-1),1)</f>
        <v/>
      </c>
      <c r="AD16" s="34">
        <f>MID($N16,COLUMN()-(COLUMN($AC16)-1),1)</f>
        <v/>
      </c>
      <c r="AE16" s="34">
        <f>MID($N16,COLUMN()-(COLUMN($AC16)-1),1)</f>
        <v/>
      </c>
      <c r="AF16" s="34">
        <f>MID($N16,COLUMN()-(COLUMN($AC16)-1),1)</f>
        <v/>
      </c>
      <c r="AG16" s="34">
        <f>MID($O16,COLUMN()-(COLUMN($AG16)-1),1)</f>
        <v/>
      </c>
      <c r="AH16" s="34">
        <f>MID($O16,COLUMN()-(COLUMN($AG16)-1),1)</f>
        <v/>
      </c>
      <c r="AI16" s="34">
        <f>MID($O16,COLUMN()-(COLUMN($AG16)-1),1)</f>
        <v/>
      </c>
      <c r="AJ16" s="34">
        <f>MID($O16,COLUMN()-(COLUMN($AG16)-1),1)</f>
        <v/>
      </c>
      <c r="AK16" s="34">
        <f>MID($P16,COLUMN()-(COLUMN($AK16)-1),1)</f>
        <v/>
      </c>
      <c r="AL16" s="34">
        <f>MID($P16,COLUMN()-(COLUMN($AK16)-1),1)</f>
        <v/>
      </c>
      <c r="AM16" s="34">
        <f>MID($P16,COLUMN()-(COLUMN($AK16)-1),1)</f>
        <v/>
      </c>
      <c r="AN16" s="34">
        <f>MID($P16,COLUMN()-(COLUMN($AK16)-1),1)</f>
        <v/>
      </c>
      <c r="AO16" s="34">
        <f>MID($Q16,COLUMN()-(COLUMN($AO16)-1),1)</f>
        <v/>
      </c>
      <c r="AP16" s="34">
        <f>MID($Q16,COLUMN()-(COLUMN($AO16)-1),1)</f>
        <v/>
      </c>
      <c r="AQ16" s="34">
        <f>MID($Q16,COLUMN()-(COLUMN($AO16)-1),1)</f>
        <v/>
      </c>
      <c r="AR16" s="34">
        <f>MID($Q16,COLUMN()-(COLUMN($AO16)-1),1)</f>
        <v/>
      </c>
      <c r="AS16" s="34">
        <f>MID($R16,COLUMN()-(COLUMN($AS16)-1),1)</f>
        <v/>
      </c>
      <c r="AT16" s="34">
        <f>MID($R16,COLUMN()-(COLUMN($AS16)-1),1)</f>
        <v/>
      </c>
      <c r="AU16" s="34">
        <f>MID($R16,COLUMN()-(COLUMN($AS16)-1),1)</f>
        <v/>
      </c>
      <c r="AV16" s="34">
        <f>MID($R16,COLUMN()-(COLUMN($AS16)-1),1)</f>
        <v/>
      </c>
      <c r="AW16" s="34">
        <f>MID($S16,COLUMN()-(COLUMN($AW16)-1),1)</f>
        <v/>
      </c>
      <c r="AX16" s="34">
        <f>MID($S16,COLUMN()-(COLUMN($AW16)-1),1)</f>
        <v/>
      </c>
      <c r="AY16" s="34">
        <f>MID($S16,COLUMN()-(COLUMN($AW16)-1),1)</f>
        <v/>
      </c>
      <c r="AZ16" s="34">
        <f>MID($S16,COLUMN()-(COLUMN($AW16)-1),1)</f>
        <v/>
      </c>
      <c r="BA16" s="34">
        <f>MID($T16,COLUMN()-(COLUMN($BA16)-1),1)</f>
        <v/>
      </c>
      <c r="BB16" s="34">
        <f>MID($T16,COLUMN()-(COLUMN($BA16)-1),1)</f>
        <v/>
      </c>
      <c r="BC16" s="34">
        <f>MID($T16,COLUMN()-(COLUMN($BA16)-1),1)</f>
        <v/>
      </c>
      <c r="BD16" s="34">
        <f>MID($T16,COLUMN()-(COLUMN($BA16)-1),1)</f>
        <v/>
      </c>
    </row>
    <row r="17">
      <c r="D17" s="26" t="n">
        <v>150</v>
      </c>
      <c r="E17" s="24" t="n">
        <v>80000216</v>
      </c>
      <c r="F17" s="33" t="n"/>
      <c r="G17" s="28" t="n"/>
      <c r="H17" s="28" t="n"/>
      <c r="I17" s="28" t="n"/>
      <c r="J17" s="28" t="n"/>
      <c r="K17" s="28" t="n"/>
      <c r="L17" s="28" t="n"/>
      <c r="M17" s="28">
        <f>HEX2BIN(MID($E17,COLUMN()-(COLUMN($M17)-1),1),4)</f>
        <v/>
      </c>
      <c r="N17" s="28">
        <f>HEX2BIN(MID($E17,COLUMN()-(COLUMN($M17)-1),1),4)</f>
        <v/>
      </c>
      <c r="O17" s="28">
        <f>HEX2BIN(MID($E17,COLUMN()-(COLUMN($M17)-1),1),4)</f>
        <v/>
      </c>
      <c r="P17" s="28">
        <f>HEX2BIN(MID($E17,COLUMN()-(COLUMN($M17)-1),1),4)</f>
        <v/>
      </c>
      <c r="Q17" s="28">
        <f>HEX2BIN(MID($E17,COLUMN()-(COLUMN($M17)-1),1),4)</f>
        <v/>
      </c>
      <c r="R17" s="28">
        <f>HEX2BIN(MID($E17,COLUMN()-(COLUMN($M17)-1),1),4)</f>
        <v/>
      </c>
      <c r="S17" s="28">
        <f>HEX2BIN(MID($E17,COLUMN()-(COLUMN($M17)-1),1),4)</f>
        <v/>
      </c>
      <c r="T17" s="28">
        <f>HEX2BIN(MID($E17,COLUMN()-(COLUMN($M17)-1),1),4)</f>
        <v/>
      </c>
      <c r="U17" s="28" t="n"/>
      <c r="V17" s="28" t="n"/>
      <c r="W17" s="28" t="n"/>
      <c r="X17" s="28" t="n"/>
      <c r="Y17" s="34">
        <f>MID($M17,COLUMN()-(COLUMN($Y17)-1),1)</f>
        <v/>
      </c>
      <c r="Z17" s="34">
        <f>MID($M17,COLUMN()-(COLUMN($Y17)-1),1)</f>
        <v/>
      </c>
      <c r="AA17" s="34">
        <f>MID($M17,COLUMN()-(COLUMN($Y17)-1),1)</f>
        <v/>
      </c>
      <c r="AB17" s="34">
        <f>MID($M17,COLUMN()-(COLUMN($Y17)-1),1)</f>
        <v/>
      </c>
      <c r="AC17" s="34">
        <f>MID($N17,COLUMN()-(COLUMN($AC17)-1),1)</f>
        <v/>
      </c>
      <c r="AD17" s="34">
        <f>MID($N17,COLUMN()-(COLUMN($AC17)-1),1)</f>
        <v/>
      </c>
      <c r="AE17" s="34">
        <f>MID($N17,COLUMN()-(COLUMN($AC17)-1),1)</f>
        <v/>
      </c>
      <c r="AF17" s="34">
        <f>MID($N17,COLUMN()-(COLUMN($AC17)-1),1)</f>
        <v/>
      </c>
      <c r="AG17" s="34">
        <f>MID($O17,COLUMN()-(COLUMN($AG17)-1),1)</f>
        <v/>
      </c>
      <c r="AH17" s="34">
        <f>MID($O17,COLUMN()-(COLUMN($AG17)-1),1)</f>
        <v/>
      </c>
      <c r="AI17" s="34">
        <f>MID($O17,COLUMN()-(COLUMN($AG17)-1),1)</f>
        <v/>
      </c>
      <c r="AJ17" s="34">
        <f>MID($O17,COLUMN()-(COLUMN($AG17)-1),1)</f>
        <v/>
      </c>
      <c r="AK17" s="34">
        <f>MID($P17,COLUMN()-(COLUMN($AK17)-1),1)</f>
        <v/>
      </c>
      <c r="AL17" s="34">
        <f>MID($P17,COLUMN()-(COLUMN($AK17)-1),1)</f>
        <v/>
      </c>
      <c r="AM17" s="34">
        <f>MID($P17,COLUMN()-(COLUMN($AK17)-1),1)</f>
        <v/>
      </c>
      <c r="AN17" s="34">
        <f>MID($P17,COLUMN()-(COLUMN($AK17)-1),1)</f>
        <v/>
      </c>
      <c r="AO17" s="34">
        <f>MID($Q17,COLUMN()-(COLUMN($AO17)-1),1)</f>
        <v/>
      </c>
      <c r="AP17" s="34">
        <f>MID($Q17,COLUMN()-(COLUMN($AO17)-1),1)</f>
        <v/>
      </c>
      <c r="AQ17" s="34">
        <f>MID($Q17,COLUMN()-(COLUMN($AO17)-1),1)</f>
        <v/>
      </c>
      <c r="AR17" s="34">
        <f>MID($Q17,COLUMN()-(COLUMN($AO17)-1),1)</f>
        <v/>
      </c>
      <c r="AS17" s="34">
        <f>MID($R17,COLUMN()-(COLUMN($AS17)-1),1)</f>
        <v/>
      </c>
      <c r="AT17" s="34">
        <f>MID($R17,COLUMN()-(COLUMN($AS17)-1),1)</f>
        <v/>
      </c>
      <c r="AU17" s="34">
        <f>MID($R17,COLUMN()-(COLUMN($AS17)-1),1)</f>
        <v/>
      </c>
      <c r="AV17" s="34">
        <f>MID($R17,COLUMN()-(COLUMN($AS17)-1),1)</f>
        <v/>
      </c>
      <c r="AW17" s="34">
        <f>MID($S17,COLUMN()-(COLUMN($AW17)-1),1)</f>
        <v/>
      </c>
      <c r="AX17" s="34">
        <f>MID($S17,COLUMN()-(COLUMN($AW17)-1),1)</f>
        <v/>
      </c>
      <c r="AY17" s="34">
        <f>MID($S17,COLUMN()-(COLUMN($AW17)-1),1)</f>
        <v/>
      </c>
      <c r="AZ17" s="34">
        <f>MID($S17,COLUMN()-(COLUMN($AW17)-1),1)</f>
        <v/>
      </c>
      <c r="BA17" s="34">
        <f>MID($T17,COLUMN()-(COLUMN($BA17)-1),1)</f>
        <v/>
      </c>
      <c r="BB17" s="34">
        <f>MID($T17,COLUMN()-(COLUMN($BA17)-1),1)</f>
        <v/>
      </c>
      <c r="BC17" s="34">
        <f>MID($T17,COLUMN()-(COLUMN($BA17)-1),1)</f>
        <v/>
      </c>
      <c r="BD17" s="34">
        <f>MID($T17,COLUMN()-(COLUMN($BA17)-1),1)</f>
        <v/>
      </c>
    </row>
    <row r="18">
      <c r="D18" s="26" t="n">
        <v>151</v>
      </c>
      <c r="E18" s="24" t="inlineStr">
        <is>
          <t>801A0296</t>
        </is>
      </c>
      <c r="F18" s="33" t="n"/>
      <c r="G18" s="28" t="n"/>
      <c r="H18" s="28" t="n"/>
      <c r="I18" s="28" t="n"/>
      <c r="J18" s="28" t="n"/>
      <c r="K18" s="28" t="n"/>
      <c r="L18" s="28" t="n"/>
      <c r="M18" s="28">
        <f>HEX2BIN(MID($E18,COLUMN()-(COLUMN($M18)-1),1),4)</f>
        <v/>
      </c>
      <c r="N18" s="28">
        <f>HEX2BIN(MID($E18,COLUMN()-(COLUMN($M18)-1),1),4)</f>
        <v/>
      </c>
      <c r="O18" s="28">
        <f>HEX2BIN(MID($E18,COLUMN()-(COLUMN($M18)-1),1),4)</f>
        <v/>
      </c>
      <c r="P18" s="28">
        <f>HEX2BIN(MID($E18,COLUMN()-(COLUMN($M18)-1),1),4)</f>
        <v/>
      </c>
      <c r="Q18" s="28">
        <f>HEX2BIN(MID($E18,COLUMN()-(COLUMN($M18)-1),1),4)</f>
        <v/>
      </c>
      <c r="R18" s="28">
        <f>HEX2BIN(MID($E18,COLUMN()-(COLUMN($M18)-1),1),4)</f>
        <v/>
      </c>
      <c r="S18" s="28">
        <f>HEX2BIN(MID($E18,COLUMN()-(COLUMN($M18)-1),1),4)</f>
        <v/>
      </c>
      <c r="T18" s="28">
        <f>HEX2BIN(MID($E18,COLUMN()-(COLUMN($M18)-1),1),4)</f>
        <v/>
      </c>
      <c r="U18" s="28" t="n"/>
      <c r="V18" s="28" t="n"/>
      <c r="W18" s="28" t="n"/>
      <c r="X18" s="28" t="n"/>
      <c r="Y18" s="34">
        <f>MID($M18,COLUMN()-(COLUMN($Y18)-1),1)</f>
        <v/>
      </c>
      <c r="Z18" s="34">
        <f>MID($M18,COLUMN()-(COLUMN($Y18)-1),1)</f>
        <v/>
      </c>
      <c r="AA18" s="34">
        <f>MID($M18,COLUMN()-(COLUMN($Y18)-1),1)</f>
        <v/>
      </c>
      <c r="AB18" s="34">
        <f>MID($M18,COLUMN()-(COLUMN($Y18)-1),1)</f>
        <v/>
      </c>
      <c r="AC18" s="34">
        <f>MID($N18,COLUMN()-(COLUMN($AC18)-1),1)</f>
        <v/>
      </c>
      <c r="AD18" s="34">
        <f>MID($N18,COLUMN()-(COLUMN($AC18)-1),1)</f>
        <v/>
      </c>
      <c r="AE18" s="34">
        <f>MID($N18,COLUMN()-(COLUMN($AC18)-1),1)</f>
        <v/>
      </c>
      <c r="AF18" s="34">
        <f>MID($N18,COLUMN()-(COLUMN($AC18)-1),1)</f>
        <v/>
      </c>
      <c r="AG18" s="34">
        <f>MID($O18,COLUMN()-(COLUMN($AG18)-1),1)</f>
        <v/>
      </c>
      <c r="AH18" s="34">
        <f>MID($O18,COLUMN()-(COLUMN($AG18)-1),1)</f>
        <v/>
      </c>
      <c r="AI18" s="34">
        <f>MID($O18,COLUMN()-(COLUMN($AG18)-1),1)</f>
        <v/>
      </c>
      <c r="AJ18" s="34">
        <f>MID($O18,COLUMN()-(COLUMN($AG18)-1),1)</f>
        <v/>
      </c>
      <c r="AK18" s="34">
        <f>MID($P18,COLUMN()-(COLUMN($AK18)-1),1)</f>
        <v/>
      </c>
      <c r="AL18" s="34">
        <f>MID($P18,COLUMN()-(COLUMN($AK18)-1),1)</f>
        <v/>
      </c>
      <c r="AM18" s="34">
        <f>MID($P18,COLUMN()-(COLUMN($AK18)-1),1)</f>
        <v/>
      </c>
      <c r="AN18" s="34">
        <f>MID($P18,COLUMN()-(COLUMN($AK18)-1),1)</f>
        <v/>
      </c>
      <c r="AO18" s="34">
        <f>MID($Q18,COLUMN()-(COLUMN($AO18)-1),1)</f>
        <v/>
      </c>
      <c r="AP18" s="34">
        <f>MID($Q18,COLUMN()-(COLUMN($AO18)-1),1)</f>
        <v/>
      </c>
      <c r="AQ18" s="34">
        <f>MID($Q18,COLUMN()-(COLUMN($AO18)-1),1)</f>
        <v/>
      </c>
      <c r="AR18" s="34">
        <f>MID($Q18,COLUMN()-(COLUMN($AO18)-1),1)</f>
        <v/>
      </c>
      <c r="AS18" s="34">
        <f>MID($R18,COLUMN()-(COLUMN($AS18)-1),1)</f>
        <v/>
      </c>
      <c r="AT18" s="34">
        <f>MID($R18,COLUMN()-(COLUMN($AS18)-1),1)</f>
        <v/>
      </c>
      <c r="AU18" s="34">
        <f>MID($R18,COLUMN()-(COLUMN($AS18)-1),1)</f>
        <v/>
      </c>
      <c r="AV18" s="34">
        <f>MID($R18,COLUMN()-(COLUMN($AS18)-1),1)</f>
        <v/>
      </c>
      <c r="AW18" s="34">
        <f>MID($S18,COLUMN()-(COLUMN($AW18)-1),1)</f>
        <v/>
      </c>
      <c r="AX18" s="34">
        <f>MID($S18,COLUMN()-(COLUMN($AW18)-1),1)</f>
        <v/>
      </c>
      <c r="AY18" s="34">
        <f>MID($S18,COLUMN()-(COLUMN($AW18)-1),1)</f>
        <v/>
      </c>
      <c r="AZ18" s="34">
        <f>MID($S18,COLUMN()-(COLUMN($AW18)-1),1)</f>
        <v/>
      </c>
      <c r="BA18" s="34">
        <f>MID($T18,COLUMN()-(COLUMN($BA18)-1),1)</f>
        <v/>
      </c>
      <c r="BB18" s="34">
        <f>MID($T18,COLUMN()-(COLUMN($BA18)-1),1)</f>
        <v/>
      </c>
      <c r="BC18" s="34">
        <f>MID($T18,COLUMN()-(COLUMN($BA18)-1),1)</f>
        <v/>
      </c>
      <c r="BD18" s="34">
        <f>MID($T18,COLUMN()-(COLUMN($BA18)-1),1)</f>
        <v/>
      </c>
    </row>
    <row r="19">
      <c r="D19" s="26" t="n">
        <v>153</v>
      </c>
      <c r="E19" s="24" t="inlineStr">
        <is>
          <t>800002D6</t>
        </is>
      </c>
      <c r="F19" s="33" t="n"/>
      <c r="G19" s="28" t="n"/>
      <c r="H19" s="28" t="n"/>
      <c r="I19" s="28" t="n"/>
      <c r="J19" s="28" t="n"/>
      <c r="K19" s="28" t="n"/>
      <c r="L19" s="28" t="n"/>
      <c r="M19" s="28">
        <f>HEX2BIN(MID($E19,COLUMN()-(COLUMN($M19)-1),1),4)</f>
        <v/>
      </c>
      <c r="N19" s="28">
        <f>HEX2BIN(MID($E19,COLUMN()-(COLUMN($M19)-1),1),4)</f>
        <v/>
      </c>
      <c r="O19" s="28">
        <f>HEX2BIN(MID($E19,COLUMN()-(COLUMN($M19)-1),1),4)</f>
        <v/>
      </c>
      <c r="P19" s="28">
        <f>HEX2BIN(MID($E19,COLUMN()-(COLUMN($M19)-1),1),4)</f>
        <v/>
      </c>
      <c r="Q19" s="28">
        <f>HEX2BIN(MID($E19,COLUMN()-(COLUMN($M19)-1),1),4)</f>
        <v/>
      </c>
      <c r="R19" s="28">
        <f>HEX2BIN(MID($E19,COLUMN()-(COLUMN($M19)-1),1),4)</f>
        <v/>
      </c>
      <c r="S19" s="28">
        <f>HEX2BIN(MID($E19,COLUMN()-(COLUMN($M19)-1),1),4)</f>
        <v/>
      </c>
      <c r="T19" s="28">
        <f>HEX2BIN(MID($E19,COLUMN()-(COLUMN($M19)-1),1),4)</f>
        <v/>
      </c>
      <c r="U19" s="28" t="n"/>
      <c r="V19" s="28" t="n"/>
      <c r="W19" s="28" t="n"/>
      <c r="X19" s="28" t="n"/>
      <c r="Y19" s="34">
        <f>MID($M19,COLUMN()-(COLUMN($Y19)-1),1)</f>
        <v/>
      </c>
      <c r="Z19" s="34">
        <f>MID($M19,COLUMN()-(COLUMN($Y19)-1),1)</f>
        <v/>
      </c>
      <c r="AA19" s="34">
        <f>MID($M19,COLUMN()-(COLUMN($Y19)-1),1)</f>
        <v/>
      </c>
      <c r="AB19" s="34">
        <f>MID($M19,COLUMN()-(COLUMN($Y19)-1),1)</f>
        <v/>
      </c>
      <c r="AC19" s="34">
        <f>MID($N19,COLUMN()-(COLUMN($AC19)-1),1)</f>
        <v/>
      </c>
      <c r="AD19" s="34">
        <f>MID($N19,COLUMN()-(COLUMN($AC19)-1),1)</f>
        <v/>
      </c>
      <c r="AE19" s="34">
        <f>MID($N19,COLUMN()-(COLUMN($AC19)-1),1)</f>
        <v/>
      </c>
      <c r="AF19" s="34">
        <f>MID($N19,COLUMN()-(COLUMN($AC19)-1),1)</f>
        <v/>
      </c>
      <c r="AG19" s="34">
        <f>MID($O19,COLUMN()-(COLUMN($AG19)-1),1)</f>
        <v/>
      </c>
      <c r="AH19" s="34">
        <f>MID($O19,COLUMN()-(COLUMN($AG19)-1),1)</f>
        <v/>
      </c>
      <c r="AI19" s="34">
        <f>MID($O19,COLUMN()-(COLUMN($AG19)-1),1)</f>
        <v/>
      </c>
      <c r="AJ19" s="34">
        <f>MID($O19,COLUMN()-(COLUMN($AG19)-1),1)</f>
        <v/>
      </c>
      <c r="AK19" s="34">
        <f>MID($P19,COLUMN()-(COLUMN($AK19)-1),1)</f>
        <v/>
      </c>
      <c r="AL19" s="34">
        <f>MID($P19,COLUMN()-(COLUMN($AK19)-1),1)</f>
        <v/>
      </c>
      <c r="AM19" s="34">
        <f>MID($P19,COLUMN()-(COLUMN($AK19)-1),1)</f>
        <v/>
      </c>
      <c r="AN19" s="34">
        <f>MID($P19,COLUMN()-(COLUMN($AK19)-1),1)</f>
        <v/>
      </c>
      <c r="AO19" s="34">
        <f>MID($Q19,COLUMN()-(COLUMN($AO19)-1),1)</f>
        <v/>
      </c>
      <c r="AP19" s="34">
        <f>MID($Q19,COLUMN()-(COLUMN($AO19)-1),1)</f>
        <v/>
      </c>
      <c r="AQ19" s="34">
        <f>MID($Q19,COLUMN()-(COLUMN($AO19)-1),1)</f>
        <v/>
      </c>
      <c r="AR19" s="34">
        <f>MID($Q19,COLUMN()-(COLUMN($AO19)-1),1)</f>
        <v/>
      </c>
      <c r="AS19" s="34">
        <f>MID($R19,COLUMN()-(COLUMN($AS19)-1),1)</f>
        <v/>
      </c>
      <c r="AT19" s="34">
        <f>MID($R19,COLUMN()-(COLUMN($AS19)-1),1)</f>
        <v/>
      </c>
      <c r="AU19" s="34">
        <f>MID($R19,COLUMN()-(COLUMN($AS19)-1),1)</f>
        <v/>
      </c>
      <c r="AV19" s="34">
        <f>MID($R19,COLUMN()-(COLUMN($AS19)-1),1)</f>
        <v/>
      </c>
      <c r="AW19" s="34">
        <f>MID($S19,COLUMN()-(COLUMN($AW19)-1),1)</f>
        <v/>
      </c>
      <c r="AX19" s="34">
        <f>MID($S19,COLUMN()-(COLUMN($AW19)-1),1)</f>
        <v/>
      </c>
      <c r="AY19" s="34">
        <f>MID($S19,COLUMN()-(COLUMN($AW19)-1),1)</f>
        <v/>
      </c>
      <c r="AZ19" s="34">
        <f>MID($S19,COLUMN()-(COLUMN($AW19)-1),1)</f>
        <v/>
      </c>
      <c r="BA19" s="34">
        <f>MID($T19,COLUMN()-(COLUMN($BA19)-1),1)</f>
        <v/>
      </c>
      <c r="BB19" s="34">
        <f>MID($T19,COLUMN()-(COLUMN($BA19)-1),1)</f>
        <v/>
      </c>
      <c r="BC19" s="34">
        <f>MID($T19,COLUMN()-(COLUMN($BA19)-1),1)</f>
        <v/>
      </c>
      <c r="BD19" s="34">
        <f>MID($T19,COLUMN()-(COLUMN($BA19)-1),1)</f>
        <v/>
      </c>
    </row>
    <row r="20">
      <c r="D20" s="26" t="n">
        <v>163</v>
      </c>
      <c r="E20" s="24" t="inlineStr">
        <is>
          <t>800002CE</t>
        </is>
      </c>
      <c r="F20" s="33" t="n"/>
      <c r="G20" s="28" t="n"/>
      <c r="H20" s="28" t="n"/>
      <c r="I20" s="28" t="n"/>
      <c r="J20" s="28" t="n"/>
      <c r="K20" s="28" t="n"/>
      <c r="L20" s="28" t="n"/>
      <c r="M20" s="28">
        <f>HEX2BIN(MID($E20,COLUMN()-(COLUMN($M20)-1),1),4)</f>
        <v/>
      </c>
      <c r="N20" s="28">
        <f>HEX2BIN(MID($E20,COLUMN()-(COLUMN($M20)-1),1),4)</f>
        <v/>
      </c>
      <c r="O20" s="28">
        <f>HEX2BIN(MID($E20,COLUMN()-(COLUMN($M20)-1),1),4)</f>
        <v/>
      </c>
      <c r="P20" s="28">
        <f>HEX2BIN(MID($E20,COLUMN()-(COLUMN($M20)-1),1),4)</f>
        <v/>
      </c>
      <c r="Q20" s="28">
        <f>HEX2BIN(MID($E20,COLUMN()-(COLUMN($M20)-1),1),4)</f>
        <v/>
      </c>
      <c r="R20" s="28">
        <f>HEX2BIN(MID($E20,COLUMN()-(COLUMN($M20)-1),1),4)</f>
        <v/>
      </c>
      <c r="S20" s="28">
        <f>HEX2BIN(MID($E20,COLUMN()-(COLUMN($M20)-1),1),4)</f>
        <v/>
      </c>
      <c r="T20" s="28">
        <f>HEX2BIN(MID($E20,COLUMN()-(COLUMN($M20)-1),1),4)</f>
        <v/>
      </c>
      <c r="U20" s="28" t="n"/>
      <c r="V20" s="28" t="n"/>
      <c r="W20" s="28" t="n"/>
      <c r="X20" s="28" t="n"/>
      <c r="Y20" s="34">
        <f>MID($M20,COLUMN()-(COLUMN($Y20)-1),1)</f>
        <v/>
      </c>
      <c r="Z20" s="34">
        <f>MID($M20,COLUMN()-(COLUMN($Y20)-1),1)</f>
        <v/>
      </c>
      <c r="AA20" s="34">
        <f>MID($M20,COLUMN()-(COLUMN($Y20)-1),1)</f>
        <v/>
      </c>
      <c r="AB20" s="34">
        <f>MID($M20,COLUMN()-(COLUMN($Y20)-1),1)</f>
        <v/>
      </c>
      <c r="AC20" s="34">
        <f>MID($N20,COLUMN()-(COLUMN($AC20)-1),1)</f>
        <v/>
      </c>
      <c r="AD20" s="34">
        <f>MID($N20,COLUMN()-(COLUMN($AC20)-1),1)</f>
        <v/>
      </c>
      <c r="AE20" s="34">
        <f>MID($N20,COLUMN()-(COLUMN($AC20)-1),1)</f>
        <v/>
      </c>
      <c r="AF20" s="34">
        <f>MID($N20,COLUMN()-(COLUMN($AC20)-1),1)</f>
        <v/>
      </c>
      <c r="AG20" s="34">
        <f>MID($O20,COLUMN()-(COLUMN($AG20)-1),1)</f>
        <v/>
      </c>
      <c r="AH20" s="34">
        <f>MID($O20,COLUMN()-(COLUMN($AG20)-1),1)</f>
        <v/>
      </c>
      <c r="AI20" s="34">
        <f>MID($O20,COLUMN()-(COLUMN($AG20)-1),1)</f>
        <v/>
      </c>
      <c r="AJ20" s="34">
        <f>MID($O20,COLUMN()-(COLUMN($AG20)-1),1)</f>
        <v/>
      </c>
      <c r="AK20" s="34">
        <f>MID($P20,COLUMN()-(COLUMN($AK20)-1),1)</f>
        <v/>
      </c>
      <c r="AL20" s="34">
        <f>MID($P20,COLUMN()-(COLUMN($AK20)-1),1)</f>
        <v/>
      </c>
      <c r="AM20" s="34">
        <f>MID($P20,COLUMN()-(COLUMN($AK20)-1),1)</f>
        <v/>
      </c>
      <c r="AN20" s="34">
        <f>MID($P20,COLUMN()-(COLUMN($AK20)-1),1)</f>
        <v/>
      </c>
      <c r="AO20" s="34">
        <f>MID($Q20,COLUMN()-(COLUMN($AO20)-1),1)</f>
        <v/>
      </c>
      <c r="AP20" s="34">
        <f>MID($Q20,COLUMN()-(COLUMN($AO20)-1),1)</f>
        <v/>
      </c>
      <c r="AQ20" s="34">
        <f>MID($Q20,COLUMN()-(COLUMN($AO20)-1),1)</f>
        <v/>
      </c>
      <c r="AR20" s="34">
        <f>MID($Q20,COLUMN()-(COLUMN($AO20)-1),1)</f>
        <v/>
      </c>
      <c r="AS20" s="34">
        <f>MID($R20,COLUMN()-(COLUMN($AS20)-1),1)</f>
        <v/>
      </c>
      <c r="AT20" s="34">
        <f>MID($R20,COLUMN()-(COLUMN($AS20)-1),1)</f>
        <v/>
      </c>
      <c r="AU20" s="34">
        <f>MID($R20,COLUMN()-(COLUMN($AS20)-1),1)</f>
        <v/>
      </c>
      <c r="AV20" s="34">
        <f>MID($R20,COLUMN()-(COLUMN($AS20)-1),1)</f>
        <v/>
      </c>
      <c r="AW20" s="34">
        <f>MID($S20,COLUMN()-(COLUMN($AW20)-1),1)</f>
        <v/>
      </c>
      <c r="AX20" s="34">
        <f>MID($S20,COLUMN()-(COLUMN($AW20)-1),1)</f>
        <v/>
      </c>
      <c r="AY20" s="34">
        <f>MID($S20,COLUMN()-(COLUMN($AW20)-1),1)</f>
        <v/>
      </c>
      <c r="AZ20" s="34">
        <f>MID($S20,COLUMN()-(COLUMN($AW20)-1),1)</f>
        <v/>
      </c>
      <c r="BA20" s="34">
        <f>MID($T20,COLUMN()-(COLUMN($BA20)-1),1)</f>
        <v/>
      </c>
      <c r="BB20" s="34">
        <f>MID($T20,COLUMN()-(COLUMN($BA20)-1),1)</f>
        <v/>
      </c>
      <c r="BC20" s="34">
        <f>MID($T20,COLUMN()-(COLUMN($BA20)-1),1)</f>
        <v/>
      </c>
      <c r="BD20" s="34">
        <f>MID($T20,COLUMN()-(COLUMN($BA20)-1),1)</f>
        <v/>
      </c>
    </row>
    <row r="21">
      <c r="D21" s="26" t="n">
        <v>277</v>
      </c>
      <c r="E21" s="24" t="inlineStr">
        <is>
          <t>400001FD</t>
        </is>
      </c>
      <c r="F21" s="33" t="n"/>
      <c r="G21" s="28" t="n"/>
      <c r="H21" s="28" t="n"/>
      <c r="I21" s="28" t="n"/>
      <c r="J21" s="28" t="n"/>
      <c r="K21" s="28" t="n"/>
      <c r="L21" s="28" t="n"/>
      <c r="M21" s="28">
        <f>HEX2BIN(MID($E21,COLUMN()-(COLUMN($M21)-1),1),4)</f>
        <v/>
      </c>
      <c r="N21" s="28">
        <f>HEX2BIN(MID($E21,COLUMN()-(COLUMN($M21)-1),1),4)</f>
        <v/>
      </c>
      <c r="O21" s="28">
        <f>HEX2BIN(MID($E21,COLUMN()-(COLUMN($M21)-1),1),4)</f>
        <v/>
      </c>
      <c r="P21" s="28">
        <f>HEX2BIN(MID($E21,COLUMN()-(COLUMN($M21)-1),1),4)</f>
        <v/>
      </c>
      <c r="Q21" s="28">
        <f>HEX2BIN(MID($E21,COLUMN()-(COLUMN($M21)-1),1),4)</f>
        <v/>
      </c>
      <c r="R21" s="28">
        <f>HEX2BIN(MID($E21,COLUMN()-(COLUMN($M21)-1),1),4)</f>
        <v/>
      </c>
      <c r="S21" s="28">
        <f>HEX2BIN(MID($E21,COLUMN()-(COLUMN($M21)-1),1),4)</f>
        <v/>
      </c>
      <c r="T21" s="28">
        <f>HEX2BIN(MID($E21,COLUMN()-(COLUMN($M21)-1),1),4)</f>
        <v/>
      </c>
      <c r="U21" s="28" t="n"/>
      <c r="V21" s="28" t="n"/>
      <c r="W21" s="28" t="n"/>
      <c r="X21" s="28" t="n"/>
      <c r="Y21" s="34">
        <f>MID($M21,COLUMN()-(COLUMN($Y21)-1),1)</f>
        <v/>
      </c>
      <c r="Z21" s="34">
        <f>MID($M21,COLUMN()-(COLUMN($Y21)-1),1)</f>
        <v/>
      </c>
      <c r="AA21" s="34">
        <f>MID($M21,COLUMN()-(COLUMN($Y21)-1),1)</f>
        <v/>
      </c>
      <c r="AB21" s="34">
        <f>MID($M21,COLUMN()-(COLUMN($Y21)-1),1)</f>
        <v/>
      </c>
      <c r="AC21" s="34">
        <f>MID($N21,COLUMN()-(COLUMN($AC21)-1),1)</f>
        <v/>
      </c>
      <c r="AD21" s="34">
        <f>MID($N21,COLUMN()-(COLUMN($AC21)-1),1)</f>
        <v/>
      </c>
      <c r="AE21" s="34">
        <f>MID($N21,COLUMN()-(COLUMN($AC21)-1),1)</f>
        <v/>
      </c>
      <c r="AF21" s="34">
        <f>MID($N21,COLUMN()-(COLUMN($AC21)-1),1)</f>
        <v/>
      </c>
      <c r="AG21" s="34">
        <f>MID($O21,COLUMN()-(COLUMN($AG21)-1),1)</f>
        <v/>
      </c>
      <c r="AH21" s="34">
        <f>MID($O21,COLUMN()-(COLUMN($AG21)-1),1)</f>
        <v/>
      </c>
      <c r="AI21" s="34">
        <f>MID($O21,COLUMN()-(COLUMN($AG21)-1),1)</f>
        <v/>
      </c>
      <c r="AJ21" s="34">
        <f>MID($O21,COLUMN()-(COLUMN($AG21)-1),1)</f>
        <v/>
      </c>
      <c r="AK21" s="34">
        <f>MID($P21,COLUMN()-(COLUMN($AK21)-1),1)</f>
        <v/>
      </c>
      <c r="AL21" s="34">
        <f>MID($P21,COLUMN()-(COLUMN($AK21)-1),1)</f>
        <v/>
      </c>
      <c r="AM21" s="34">
        <f>MID($P21,COLUMN()-(COLUMN($AK21)-1),1)</f>
        <v/>
      </c>
      <c r="AN21" s="34">
        <f>MID($P21,COLUMN()-(COLUMN($AK21)-1),1)</f>
        <v/>
      </c>
      <c r="AO21" s="34">
        <f>MID($Q21,COLUMN()-(COLUMN($AO21)-1),1)</f>
        <v/>
      </c>
      <c r="AP21" s="34">
        <f>MID($Q21,COLUMN()-(COLUMN($AO21)-1),1)</f>
        <v/>
      </c>
      <c r="AQ21" s="34">
        <f>MID($Q21,COLUMN()-(COLUMN($AO21)-1),1)</f>
        <v/>
      </c>
      <c r="AR21" s="34">
        <f>MID($Q21,COLUMN()-(COLUMN($AO21)-1),1)</f>
        <v/>
      </c>
      <c r="AS21" s="34">
        <f>MID($R21,COLUMN()-(COLUMN($AS21)-1),1)</f>
        <v/>
      </c>
      <c r="AT21" s="34">
        <f>MID($R21,COLUMN()-(COLUMN($AS21)-1),1)</f>
        <v/>
      </c>
      <c r="AU21" s="34">
        <f>MID($R21,COLUMN()-(COLUMN($AS21)-1),1)</f>
        <v/>
      </c>
      <c r="AV21" s="34">
        <f>MID($R21,COLUMN()-(COLUMN($AS21)-1),1)</f>
        <v/>
      </c>
      <c r="AW21" s="34">
        <f>MID($S21,COLUMN()-(COLUMN($AW21)-1),1)</f>
        <v/>
      </c>
      <c r="AX21" s="34">
        <f>MID($S21,COLUMN()-(COLUMN($AW21)-1),1)</f>
        <v/>
      </c>
      <c r="AY21" s="34">
        <f>MID($S21,COLUMN()-(COLUMN($AW21)-1),1)</f>
        <v/>
      </c>
      <c r="AZ21" s="34">
        <f>MID($S21,COLUMN()-(COLUMN($AW21)-1),1)</f>
        <v/>
      </c>
      <c r="BA21" s="34">
        <f>MID($T21,COLUMN()-(COLUMN($BA21)-1),1)</f>
        <v/>
      </c>
      <c r="BB21" s="34">
        <f>MID($T21,COLUMN()-(COLUMN($BA21)-1),1)</f>
        <v/>
      </c>
      <c r="BC21" s="34">
        <f>MID($T21,COLUMN()-(COLUMN($BA21)-1),1)</f>
        <v/>
      </c>
      <c r="BD21" s="34">
        <f>MID($T21,COLUMN()-(COLUMN($BA21)-1),1)</f>
        <v/>
      </c>
    </row>
    <row r="22">
      <c r="D22" s="26" t="n">
        <v>352</v>
      </c>
      <c r="E22" s="27" t="inlineStr">
        <is>
          <t>01550257</t>
        </is>
      </c>
      <c r="F22" s="33" t="n"/>
      <c r="G22" s="28" t="n"/>
      <c r="H22" s="28" t="n"/>
      <c r="I22" s="28" t="n"/>
      <c r="J22" s="28" t="n"/>
      <c r="K22" s="28" t="n"/>
      <c r="L22" s="28" t="n"/>
      <c r="M22" s="28">
        <f>HEX2BIN(MID($E22,COLUMN()-(COLUMN($M22)-1),1),4)</f>
        <v/>
      </c>
      <c r="N22" s="28">
        <f>HEX2BIN(MID($E22,COLUMN()-(COLUMN($M22)-1),1),4)</f>
        <v/>
      </c>
      <c r="O22" s="28">
        <f>HEX2BIN(MID($E22,COLUMN()-(COLUMN($M22)-1),1),4)</f>
        <v/>
      </c>
      <c r="P22" s="28">
        <f>HEX2BIN(MID($E22,COLUMN()-(COLUMN($M22)-1),1),4)</f>
        <v/>
      </c>
      <c r="Q22" s="28">
        <f>HEX2BIN(MID($E22,COLUMN()-(COLUMN($M22)-1),1),4)</f>
        <v/>
      </c>
      <c r="R22" s="28">
        <f>HEX2BIN(MID($E22,COLUMN()-(COLUMN($M22)-1),1),4)</f>
        <v/>
      </c>
      <c r="S22" s="28">
        <f>HEX2BIN(MID($E22,COLUMN()-(COLUMN($M22)-1),1),4)</f>
        <v/>
      </c>
      <c r="T22" s="28">
        <f>HEX2BIN(MID($E22,COLUMN()-(COLUMN($M22)-1),1),4)</f>
        <v/>
      </c>
      <c r="U22" s="28" t="n"/>
      <c r="V22" s="28" t="n"/>
      <c r="W22" s="28" t="n"/>
      <c r="X22" s="28" t="n"/>
      <c r="Y22" s="34">
        <f>MID($M22,COLUMN()-(COLUMN($Y22)-1),1)</f>
        <v/>
      </c>
      <c r="Z22" s="34">
        <f>MID($M22,COLUMN()-(COLUMN($Y22)-1),1)</f>
        <v/>
      </c>
      <c r="AA22" s="34">
        <f>MID($M22,COLUMN()-(COLUMN($Y22)-1),1)</f>
        <v/>
      </c>
      <c r="AB22" s="34">
        <f>MID($M22,COLUMN()-(COLUMN($Y22)-1),1)</f>
        <v/>
      </c>
      <c r="AC22" s="34">
        <f>MID($N22,COLUMN()-(COLUMN($AC22)-1),1)</f>
        <v/>
      </c>
      <c r="AD22" s="34">
        <f>MID($N22,COLUMN()-(COLUMN($AC22)-1),1)</f>
        <v/>
      </c>
      <c r="AE22" s="34">
        <f>MID($N22,COLUMN()-(COLUMN($AC22)-1),1)</f>
        <v/>
      </c>
      <c r="AF22" s="34">
        <f>MID($N22,COLUMN()-(COLUMN($AC22)-1),1)</f>
        <v/>
      </c>
      <c r="AG22" s="34">
        <f>MID($O22,COLUMN()-(COLUMN($AG22)-1),1)</f>
        <v/>
      </c>
      <c r="AH22" s="34">
        <f>MID($O22,COLUMN()-(COLUMN($AG22)-1),1)</f>
        <v/>
      </c>
      <c r="AI22" s="34">
        <f>MID($O22,COLUMN()-(COLUMN($AG22)-1),1)</f>
        <v/>
      </c>
      <c r="AJ22" s="34">
        <f>MID($O22,COLUMN()-(COLUMN($AG22)-1),1)</f>
        <v/>
      </c>
      <c r="AK22" s="34">
        <f>MID($P22,COLUMN()-(COLUMN($AK22)-1),1)</f>
        <v/>
      </c>
      <c r="AL22" s="34">
        <f>MID($P22,COLUMN()-(COLUMN($AK22)-1),1)</f>
        <v/>
      </c>
      <c r="AM22" s="34">
        <f>MID($P22,COLUMN()-(COLUMN($AK22)-1),1)</f>
        <v/>
      </c>
      <c r="AN22" s="34">
        <f>MID($P22,COLUMN()-(COLUMN($AK22)-1),1)</f>
        <v/>
      </c>
      <c r="AO22" s="34">
        <f>MID($Q22,COLUMN()-(COLUMN($AO22)-1),1)</f>
        <v/>
      </c>
      <c r="AP22" s="34">
        <f>MID($Q22,COLUMN()-(COLUMN($AO22)-1),1)</f>
        <v/>
      </c>
      <c r="AQ22" s="34">
        <f>MID($Q22,COLUMN()-(COLUMN($AO22)-1),1)</f>
        <v/>
      </c>
      <c r="AR22" s="34">
        <f>MID($Q22,COLUMN()-(COLUMN($AO22)-1),1)</f>
        <v/>
      </c>
      <c r="AS22" s="34">
        <f>MID($R22,COLUMN()-(COLUMN($AS22)-1),1)</f>
        <v/>
      </c>
      <c r="AT22" s="34">
        <f>MID($R22,COLUMN()-(COLUMN($AS22)-1),1)</f>
        <v/>
      </c>
      <c r="AU22" s="34">
        <f>MID($R22,COLUMN()-(COLUMN($AS22)-1),1)</f>
        <v/>
      </c>
      <c r="AV22" s="34">
        <f>MID($R22,COLUMN()-(COLUMN($AS22)-1),1)</f>
        <v/>
      </c>
      <c r="AW22" s="34">
        <f>MID($S22,COLUMN()-(COLUMN($AW22)-1),1)</f>
        <v/>
      </c>
      <c r="AX22" s="34">
        <f>MID($S22,COLUMN()-(COLUMN($AW22)-1),1)</f>
        <v/>
      </c>
      <c r="AY22" s="34">
        <f>MID($S22,COLUMN()-(COLUMN($AW22)-1),1)</f>
        <v/>
      </c>
      <c r="AZ22" s="34">
        <f>MID($S22,COLUMN()-(COLUMN($AW22)-1),1)</f>
        <v/>
      </c>
      <c r="BA22" s="34">
        <f>MID($T22,COLUMN()-(COLUMN($BA22)-1),1)</f>
        <v/>
      </c>
      <c r="BB22" s="34">
        <f>MID($T22,COLUMN()-(COLUMN($BA22)-1),1)</f>
        <v/>
      </c>
      <c r="BC22" s="34">
        <f>MID($T22,COLUMN()-(COLUMN($BA22)-1),1)</f>
        <v/>
      </c>
      <c r="BD22" s="34">
        <f>MID($T22,COLUMN()-(COLUMN($BA22)-1),1)</f>
        <v/>
      </c>
    </row>
    <row r="23">
      <c r="D23" s="26" t="n">
        <v>353</v>
      </c>
      <c r="E23" s="24" t="inlineStr">
        <is>
          <t>8001FED7</t>
        </is>
      </c>
      <c r="F23" s="33" t="n"/>
      <c r="G23" s="28" t="n"/>
      <c r="H23" s="28" t="n"/>
      <c r="I23" s="28" t="n"/>
      <c r="J23" s="28" t="n"/>
      <c r="K23" s="28" t="n"/>
      <c r="L23" s="28" t="n"/>
      <c r="M23" s="28">
        <f>HEX2BIN(MID($E23,COLUMN()-(COLUMN($M23)-1),1),4)</f>
        <v/>
      </c>
      <c r="N23" s="28">
        <f>HEX2BIN(MID($E23,COLUMN()-(COLUMN($M23)-1),1),4)</f>
        <v/>
      </c>
      <c r="O23" s="28">
        <f>HEX2BIN(MID($E23,COLUMN()-(COLUMN($M23)-1),1),4)</f>
        <v/>
      </c>
      <c r="P23" s="28">
        <f>HEX2BIN(MID($E23,COLUMN()-(COLUMN($M23)-1),1),4)</f>
        <v/>
      </c>
      <c r="Q23" s="28">
        <f>HEX2BIN(MID($E23,COLUMN()-(COLUMN($M23)-1),1),4)</f>
        <v/>
      </c>
      <c r="R23" s="28">
        <f>HEX2BIN(MID($E23,COLUMN()-(COLUMN($M23)-1),1),4)</f>
        <v/>
      </c>
      <c r="S23" s="28">
        <f>HEX2BIN(MID($E23,COLUMN()-(COLUMN($M23)-1),1),4)</f>
        <v/>
      </c>
      <c r="T23" s="28">
        <f>HEX2BIN(MID($E23,COLUMN()-(COLUMN($M23)-1),1),4)</f>
        <v/>
      </c>
      <c r="U23" s="28" t="n"/>
      <c r="V23" s="28" t="n"/>
      <c r="W23" s="28" t="n"/>
      <c r="X23" s="28" t="n"/>
      <c r="Y23" s="34">
        <f>MID($M23,COLUMN()-(COLUMN($Y23)-1),1)</f>
        <v/>
      </c>
      <c r="Z23" s="34">
        <f>MID($M23,COLUMN()-(COLUMN($Y23)-1),1)</f>
        <v/>
      </c>
      <c r="AA23" s="34">
        <f>MID($M23,COLUMN()-(COLUMN($Y23)-1),1)</f>
        <v/>
      </c>
      <c r="AB23" s="34">
        <f>MID($M23,COLUMN()-(COLUMN($Y23)-1),1)</f>
        <v/>
      </c>
      <c r="AC23" s="34">
        <f>MID($N23,COLUMN()-(COLUMN($AC23)-1),1)</f>
        <v/>
      </c>
      <c r="AD23" s="34">
        <f>MID($N23,COLUMN()-(COLUMN($AC23)-1),1)</f>
        <v/>
      </c>
      <c r="AE23" s="34">
        <f>MID($N23,COLUMN()-(COLUMN($AC23)-1),1)</f>
        <v/>
      </c>
      <c r="AF23" s="34">
        <f>MID($N23,COLUMN()-(COLUMN($AC23)-1),1)</f>
        <v/>
      </c>
      <c r="AG23" s="34">
        <f>MID($O23,COLUMN()-(COLUMN($AG23)-1),1)</f>
        <v/>
      </c>
      <c r="AH23" s="34">
        <f>MID($O23,COLUMN()-(COLUMN($AG23)-1),1)</f>
        <v/>
      </c>
      <c r="AI23" s="34">
        <f>MID($O23,COLUMN()-(COLUMN($AG23)-1),1)</f>
        <v/>
      </c>
      <c r="AJ23" s="34">
        <f>MID($O23,COLUMN()-(COLUMN($AG23)-1),1)</f>
        <v/>
      </c>
      <c r="AK23" s="34">
        <f>MID($P23,COLUMN()-(COLUMN($AK23)-1),1)</f>
        <v/>
      </c>
      <c r="AL23" s="34">
        <f>MID($P23,COLUMN()-(COLUMN($AK23)-1),1)</f>
        <v/>
      </c>
      <c r="AM23" s="34">
        <f>MID($P23,COLUMN()-(COLUMN($AK23)-1),1)</f>
        <v/>
      </c>
      <c r="AN23" s="34">
        <f>MID($P23,COLUMN()-(COLUMN($AK23)-1),1)</f>
        <v/>
      </c>
      <c r="AO23" s="34">
        <f>MID($Q23,COLUMN()-(COLUMN($AO23)-1),1)</f>
        <v/>
      </c>
      <c r="AP23" s="34">
        <f>MID($Q23,COLUMN()-(COLUMN($AO23)-1),1)</f>
        <v/>
      </c>
      <c r="AQ23" s="34">
        <f>MID($Q23,COLUMN()-(COLUMN($AO23)-1),1)</f>
        <v/>
      </c>
      <c r="AR23" s="34">
        <f>MID($Q23,COLUMN()-(COLUMN($AO23)-1),1)</f>
        <v/>
      </c>
      <c r="AS23" s="34">
        <f>MID($R23,COLUMN()-(COLUMN($AS23)-1),1)</f>
        <v/>
      </c>
      <c r="AT23" s="34">
        <f>MID($R23,COLUMN()-(COLUMN($AS23)-1),1)</f>
        <v/>
      </c>
      <c r="AU23" s="34">
        <f>MID($R23,COLUMN()-(COLUMN($AS23)-1),1)</f>
        <v/>
      </c>
      <c r="AV23" s="34">
        <f>MID($R23,COLUMN()-(COLUMN($AS23)-1),1)</f>
        <v/>
      </c>
      <c r="AW23" s="34">
        <f>MID($S23,COLUMN()-(COLUMN($AW23)-1),1)</f>
        <v/>
      </c>
      <c r="AX23" s="34">
        <f>MID($S23,COLUMN()-(COLUMN($AW23)-1),1)</f>
        <v/>
      </c>
      <c r="AY23" s="34">
        <f>MID($S23,COLUMN()-(COLUMN($AW23)-1),1)</f>
        <v/>
      </c>
      <c r="AZ23" s="34">
        <f>MID($S23,COLUMN()-(COLUMN($AW23)-1),1)</f>
        <v/>
      </c>
      <c r="BA23" s="34">
        <f>MID($T23,COLUMN()-(COLUMN($BA23)-1),1)</f>
        <v/>
      </c>
      <c r="BB23" s="34">
        <f>MID($T23,COLUMN()-(COLUMN($BA23)-1),1)</f>
        <v/>
      </c>
      <c r="BC23" s="34">
        <f>MID($T23,COLUMN()-(COLUMN($BA23)-1),1)</f>
        <v/>
      </c>
      <c r="BD23" s="34">
        <f>MID($T23,COLUMN()-(COLUMN($BA23)-1),1)</f>
        <v/>
      </c>
    </row>
    <row r="24">
      <c r="D24" s="26" t="n">
        <v>356</v>
      </c>
      <c r="E24" s="24" t="inlineStr">
        <is>
          <t>B1353177</t>
        </is>
      </c>
      <c r="F24" s="33" t="n"/>
      <c r="G24" s="28" t="n"/>
      <c r="H24" s="28" t="n"/>
      <c r="I24" s="28" t="n"/>
      <c r="J24" s="28" t="n"/>
      <c r="K24" s="28" t="n"/>
      <c r="L24" s="28" t="n"/>
      <c r="M24" s="28">
        <f>HEX2BIN(MID($E24,COLUMN()-(COLUMN($M24)-1),1),4)</f>
        <v/>
      </c>
      <c r="N24" s="28">
        <f>HEX2BIN(MID($E24,COLUMN()-(COLUMN($M24)-1),1),4)</f>
        <v/>
      </c>
      <c r="O24" s="28">
        <f>HEX2BIN(MID($E24,COLUMN()-(COLUMN($M24)-1),1),4)</f>
        <v/>
      </c>
      <c r="P24" s="28">
        <f>HEX2BIN(MID($E24,COLUMN()-(COLUMN($M24)-1),1),4)</f>
        <v/>
      </c>
      <c r="Q24" s="28">
        <f>HEX2BIN(MID($E24,COLUMN()-(COLUMN($M24)-1),1),4)</f>
        <v/>
      </c>
      <c r="R24" s="28">
        <f>HEX2BIN(MID($E24,COLUMN()-(COLUMN($M24)-1),1),4)</f>
        <v/>
      </c>
      <c r="S24" s="28">
        <f>HEX2BIN(MID($E24,COLUMN()-(COLUMN($M24)-1),1),4)</f>
        <v/>
      </c>
      <c r="T24" s="28">
        <f>HEX2BIN(MID($E24,COLUMN()-(COLUMN($M24)-1),1),4)</f>
        <v/>
      </c>
      <c r="U24" s="28" t="n"/>
      <c r="V24" s="28" t="n"/>
      <c r="W24" s="28" t="n"/>
      <c r="X24" s="28" t="n"/>
      <c r="Y24" s="34">
        <f>MID($M24,COLUMN()-(COLUMN($Y24)-1),1)</f>
        <v/>
      </c>
      <c r="Z24" s="34">
        <f>MID($M24,COLUMN()-(COLUMN($Y24)-1),1)</f>
        <v/>
      </c>
      <c r="AA24" s="34">
        <f>MID($M24,COLUMN()-(COLUMN($Y24)-1),1)</f>
        <v/>
      </c>
      <c r="AB24" s="34">
        <f>MID($M24,COLUMN()-(COLUMN($Y24)-1),1)</f>
        <v/>
      </c>
      <c r="AC24" s="34">
        <f>MID($N24,COLUMN()-(COLUMN($AC24)-1),1)</f>
        <v/>
      </c>
      <c r="AD24" s="34">
        <f>MID($N24,COLUMN()-(COLUMN($AC24)-1),1)</f>
        <v/>
      </c>
      <c r="AE24" s="34">
        <f>MID($N24,COLUMN()-(COLUMN($AC24)-1),1)</f>
        <v/>
      </c>
      <c r="AF24" s="34">
        <f>MID($N24,COLUMN()-(COLUMN($AC24)-1),1)</f>
        <v/>
      </c>
      <c r="AG24" s="34">
        <f>MID($O24,COLUMN()-(COLUMN($AG24)-1),1)</f>
        <v/>
      </c>
      <c r="AH24" s="34">
        <f>MID($O24,COLUMN()-(COLUMN($AG24)-1),1)</f>
        <v/>
      </c>
      <c r="AI24" s="34">
        <f>MID($O24,COLUMN()-(COLUMN($AG24)-1),1)</f>
        <v/>
      </c>
      <c r="AJ24" s="34">
        <f>MID($O24,COLUMN()-(COLUMN($AG24)-1),1)</f>
        <v/>
      </c>
      <c r="AK24" s="34">
        <f>MID($P24,COLUMN()-(COLUMN($AK24)-1),1)</f>
        <v/>
      </c>
      <c r="AL24" s="34">
        <f>MID($P24,COLUMN()-(COLUMN($AK24)-1),1)</f>
        <v/>
      </c>
      <c r="AM24" s="34">
        <f>MID($P24,COLUMN()-(COLUMN($AK24)-1),1)</f>
        <v/>
      </c>
      <c r="AN24" s="34">
        <f>MID($P24,COLUMN()-(COLUMN($AK24)-1),1)</f>
        <v/>
      </c>
      <c r="AO24" s="34">
        <f>MID($Q24,COLUMN()-(COLUMN($AO24)-1),1)</f>
        <v/>
      </c>
      <c r="AP24" s="34">
        <f>MID($Q24,COLUMN()-(COLUMN($AO24)-1),1)</f>
        <v/>
      </c>
      <c r="AQ24" s="34">
        <f>MID($Q24,COLUMN()-(COLUMN($AO24)-1),1)</f>
        <v/>
      </c>
      <c r="AR24" s="34">
        <f>MID($Q24,COLUMN()-(COLUMN($AO24)-1),1)</f>
        <v/>
      </c>
      <c r="AS24" s="34">
        <f>MID($R24,COLUMN()-(COLUMN($AS24)-1),1)</f>
        <v/>
      </c>
      <c r="AT24" s="34">
        <f>MID($R24,COLUMN()-(COLUMN($AS24)-1),1)</f>
        <v/>
      </c>
      <c r="AU24" s="34">
        <f>MID($R24,COLUMN()-(COLUMN($AS24)-1),1)</f>
        <v/>
      </c>
      <c r="AV24" s="34">
        <f>MID($R24,COLUMN()-(COLUMN($AS24)-1),1)</f>
        <v/>
      </c>
      <c r="AW24" s="34">
        <f>MID($S24,COLUMN()-(COLUMN($AW24)-1),1)</f>
        <v/>
      </c>
      <c r="AX24" s="34">
        <f>MID($S24,COLUMN()-(COLUMN($AW24)-1),1)</f>
        <v/>
      </c>
      <c r="AY24" s="34">
        <f>MID($S24,COLUMN()-(COLUMN($AW24)-1),1)</f>
        <v/>
      </c>
      <c r="AZ24" s="34">
        <f>MID($S24,COLUMN()-(COLUMN($AW24)-1),1)</f>
        <v/>
      </c>
      <c r="BA24" s="34">
        <f>MID($T24,COLUMN()-(COLUMN($BA24)-1),1)</f>
        <v/>
      </c>
      <c r="BB24" s="34">
        <f>MID($T24,COLUMN()-(COLUMN($BA24)-1),1)</f>
        <v/>
      </c>
      <c r="BC24" s="34">
        <f>MID($T24,COLUMN()-(COLUMN($BA24)-1),1)</f>
        <v/>
      </c>
      <c r="BD24" s="34">
        <f>MID($T24,COLUMN()-(COLUMN($BA24)-1),1)</f>
        <v/>
      </c>
    </row>
    <row r="25">
      <c r="D25" s="26" t="n">
        <v>377</v>
      </c>
      <c r="E25" s="24" t="inlineStr">
        <is>
          <t>000172FF</t>
        </is>
      </c>
      <c r="F25" s="33" t="n"/>
      <c r="G25" s="28" t="n"/>
      <c r="H25" s="28" t="n"/>
      <c r="I25" s="28" t="n"/>
      <c r="J25" s="28" t="n"/>
      <c r="K25" s="28" t="n"/>
      <c r="L25" s="28" t="n"/>
      <c r="M25" s="28">
        <f>HEX2BIN(MID($E25,COLUMN()-(COLUMN($M25)-1),1),4)</f>
        <v/>
      </c>
      <c r="N25" s="28">
        <f>HEX2BIN(MID($E25,COLUMN()-(COLUMN($M25)-1),1),4)</f>
        <v/>
      </c>
      <c r="O25" s="28">
        <f>HEX2BIN(MID($E25,COLUMN()-(COLUMN($M25)-1),1),4)</f>
        <v/>
      </c>
      <c r="P25" s="28">
        <f>HEX2BIN(MID($E25,COLUMN()-(COLUMN($M25)-1),1),4)</f>
        <v/>
      </c>
      <c r="Q25" s="28">
        <f>HEX2BIN(MID($E25,COLUMN()-(COLUMN($M25)-1),1),4)</f>
        <v/>
      </c>
      <c r="R25" s="28">
        <f>HEX2BIN(MID($E25,COLUMN()-(COLUMN($M25)-1),1),4)</f>
        <v/>
      </c>
      <c r="S25" s="28">
        <f>HEX2BIN(MID($E25,COLUMN()-(COLUMN($M25)-1),1),4)</f>
        <v/>
      </c>
      <c r="T25" s="28">
        <f>HEX2BIN(MID($E25,COLUMN()-(COLUMN($M25)-1),1),4)</f>
        <v/>
      </c>
      <c r="U25" s="28" t="n"/>
      <c r="V25" s="28" t="n"/>
      <c r="W25" s="28" t="n"/>
      <c r="X25" s="28" t="n"/>
      <c r="Y25" s="34">
        <f>MID($M25,COLUMN()-(COLUMN($Y25)-1),1)</f>
        <v/>
      </c>
      <c r="Z25" s="34">
        <f>MID($M25,COLUMN()-(COLUMN($Y25)-1),1)</f>
        <v/>
      </c>
      <c r="AA25" s="34">
        <f>MID($M25,COLUMN()-(COLUMN($Y25)-1),1)</f>
        <v/>
      </c>
      <c r="AB25" s="34">
        <f>MID($M25,COLUMN()-(COLUMN($Y25)-1),1)</f>
        <v/>
      </c>
      <c r="AC25" s="34">
        <f>MID($N25,COLUMN()-(COLUMN($AC25)-1),1)</f>
        <v/>
      </c>
      <c r="AD25" s="34">
        <f>MID($N25,COLUMN()-(COLUMN($AC25)-1),1)</f>
        <v/>
      </c>
      <c r="AE25" s="34">
        <f>MID($N25,COLUMN()-(COLUMN($AC25)-1),1)</f>
        <v/>
      </c>
      <c r="AF25" s="34">
        <f>MID($N25,COLUMN()-(COLUMN($AC25)-1),1)</f>
        <v/>
      </c>
      <c r="AG25" s="34">
        <f>MID($O25,COLUMN()-(COLUMN($AG25)-1),1)</f>
        <v/>
      </c>
      <c r="AH25" s="34">
        <f>MID($O25,COLUMN()-(COLUMN($AG25)-1),1)</f>
        <v/>
      </c>
      <c r="AI25" s="34">
        <f>MID($O25,COLUMN()-(COLUMN($AG25)-1),1)</f>
        <v/>
      </c>
      <c r="AJ25" s="34">
        <f>MID($O25,COLUMN()-(COLUMN($AG25)-1),1)</f>
        <v/>
      </c>
      <c r="AK25" s="34">
        <f>MID($P25,COLUMN()-(COLUMN($AK25)-1),1)</f>
        <v/>
      </c>
      <c r="AL25" s="34">
        <f>MID($P25,COLUMN()-(COLUMN($AK25)-1),1)</f>
        <v/>
      </c>
      <c r="AM25" s="34">
        <f>MID($P25,COLUMN()-(COLUMN($AK25)-1),1)</f>
        <v/>
      </c>
      <c r="AN25" s="34">
        <f>MID($P25,COLUMN()-(COLUMN($AK25)-1),1)</f>
        <v/>
      </c>
      <c r="AO25" s="34">
        <f>MID($Q25,COLUMN()-(COLUMN($AO25)-1),1)</f>
        <v/>
      </c>
      <c r="AP25" s="34">
        <f>MID($Q25,COLUMN()-(COLUMN($AO25)-1),1)</f>
        <v/>
      </c>
      <c r="AQ25" s="34">
        <f>MID($Q25,COLUMN()-(COLUMN($AO25)-1),1)</f>
        <v/>
      </c>
      <c r="AR25" s="34">
        <f>MID($Q25,COLUMN()-(COLUMN($AO25)-1),1)</f>
        <v/>
      </c>
      <c r="AS25" s="34">
        <f>MID($R25,COLUMN()-(COLUMN($AS25)-1),1)</f>
        <v/>
      </c>
      <c r="AT25" s="34">
        <f>MID($R25,COLUMN()-(COLUMN($AS25)-1),1)</f>
        <v/>
      </c>
      <c r="AU25" s="34">
        <f>MID($R25,COLUMN()-(COLUMN($AS25)-1),1)</f>
        <v/>
      </c>
      <c r="AV25" s="34">
        <f>MID($R25,COLUMN()-(COLUMN($AS25)-1),1)</f>
        <v/>
      </c>
      <c r="AW25" s="34">
        <f>MID($S25,COLUMN()-(COLUMN($AW25)-1),1)</f>
        <v/>
      </c>
      <c r="AX25" s="34">
        <f>MID($S25,COLUMN()-(COLUMN($AW25)-1),1)</f>
        <v/>
      </c>
      <c r="AY25" s="34">
        <f>MID($S25,COLUMN()-(COLUMN($AW25)-1),1)</f>
        <v/>
      </c>
      <c r="AZ25" s="34">
        <f>MID($S25,COLUMN()-(COLUMN($AW25)-1),1)</f>
        <v/>
      </c>
      <c r="BA25" s="34">
        <f>MID($T25,COLUMN()-(COLUMN($BA25)-1),1)</f>
        <v/>
      </c>
      <c r="BB25" s="34">
        <f>MID($T25,COLUMN()-(COLUMN($BA25)-1),1)</f>
        <v/>
      </c>
      <c r="BC25" s="34">
        <f>MID($T25,COLUMN()-(COLUMN($BA25)-1),1)</f>
        <v/>
      </c>
      <c r="BD25" s="34">
        <f>MID($T25,COLUMN()-(COLUMN($BA25)-1),1)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8:J105"/>
  <sheetViews>
    <sheetView workbookViewId="0">
      <selection activeCell="H17" sqref="H17"/>
    </sheetView>
  </sheetViews>
  <sheetFormatPr baseColWidth="8" defaultRowHeight="15"/>
  <cols>
    <col width="3" bestFit="1" customWidth="1" style="43" min="6" max="6"/>
    <col width="33" bestFit="1" customWidth="1" min="7" max="7"/>
    <col width="10.28515625" bestFit="1" customWidth="1" min="8" max="8"/>
    <col width="16.5703125" bestFit="1" customWidth="1" style="8" min="9" max="9"/>
    <col width="64.5703125" bestFit="1" customWidth="1" min="10" max="10"/>
  </cols>
  <sheetData>
    <row r="8">
      <c r="F8" s="36" t="n"/>
      <c r="G8" s="44" t="inlineStr">
        <is>
          <t>FAULT CODE NAME</t>
        </is>
      </c>
      <c r="H8" s="36">
        <f>H41</f>
        <v/>
      </c>
      <c r="I8" s="45" t="inlineStr">
        <is>
          <t>PROBABLE CAUSE</t>
        </is>
      </c>
      <c r="J8" s="45" t="inlineStr">
        <is>
          <t>Примечание</t>
        </is>
      </c>
    </row>
    <row r="9">
      <c r="F9" s="42" t="n">
        <v>0</v>
      </c>
      <c r="G9" s="38" t="inlineStr">
        <is>
          <t>RAM_FAILED_REG</t>
        </is>
      </c>
      <c r="H9" s="39">
        <f>IF(MID(source!$AT$10,1,1)="1",1,"0")</f>
        <v/>
      </c>
      <c r="I9" s="26" t="inlineStr">
        <is>
          <t>IC400</t>
        </is>
      </c>
      <c r="J9" s="34" t="n"/>
    </row>
    <row r="10" ht="45" customHeight="1">
      <c r="F10" s="42" t="n">
        <v>1</v>
      </c>
      <c r="G10" s="38" t="inlineStr">
        <is>
          <t>RAM_FAILED_RAM</t>
        </is>
      </c>
      <c r="H10" s="39">
        <f>IF(MID(source!$AS$10,1,1)="1",1,"0")</f>
        <v/>
      </c>
      <c r="I10" s="46" t="inlineStr">
        <is>
          <t>IC400
IC702
IC703</t>
        </is>
      </c>
      <c r="J10" s="34" t="n"/>
    </row>
    <row r="11">
      <c r="F11" s="42" t="n">
        <v>2</v>
      </c>
      <c r="G11" s="38" t="inlineStr">
        <is>
          <t>FMS1_DATA_OUT_OF_RANGE</t>
        </is>
      </c>
      <c r="H11" s="39">
        <f>IF(MID(source!$AR$10,1,1)="1",1,"0")</f>
        <v/>
      </c>
      <c r="I11" s="26" t="inlineStr">
        <is>
          <t>External</t>
        </is>
      </c>
      <c r="J11" s="34" t="n"/>
    </row>
    <row r="12">
      <c r="F12" s="42" t="n">
        <v>3</v>
      </c>
      <c r="G12" s="38" t="inlineStr">
        <is>
          <t>FMS2_DATA_OUT_OF_RANGE</t>
        </is>
      </c>
      <c r="H12" s="39">
        <f>IF(MID(source!$AQ$10,1,1)="1",1,"0")</f>
        <v/>
      </c>
      <c r="I12" s="26" t="inlineStr">
        <is>
          <t>External</t>
        </is>
      </c>
      <c r="J12" s="34" t="n"/>
    </row>
    <row r="13" ht="30" customHeight="1">
      <c r="F13" s="42" t="n">
        <v>4</v>
      </c>
      <c r="G13" s="38" t="inlineStr">
        <is>
          <t>ACT_STATUS_FAIL</t>
        </is>
      </c>
      <c r="H13" s="39">
        <f>IF(MID(source!$AP$10,1,1)="1",1,"0")</f>
        <v/>
      </c>
      <c r="I13" s="47" t="inlineStr">
        <is>
          <t>OFV Ebox
A/C Wirin</t>
        </is>
      </c>
      <c r="J13" s="34" t="n"/>
    </row>
    <row r="14" ht="60" customHeight="1">
      <c r="F14" s="42" t="n">
        <v>5</v>
      </c>
      <c r="G14" s="38" t="inlineStr">
        <is>
          <t>CAL_TIME_OPEN_FAIL</t>
        </is>
      </c>
      <c r="H14" s="39">
        <f>IF(MID(source!$AO$10,1,1)="1",1,"0")</f>
        <v/>
      </c>
      <c r="I14" s="47" t="inlineStr">
        <is>
          <t>defective FDM
defective EBox
defective AuMot
defective Gbox</t>
        </is>
      </c>
      <c r="J14" s="34" t="n"/>
    </row>
    <row r="15">
      <c r="F15" s="42" t="n">
        <v>6</v>
      </c>
      <c r="G15" s="38" t="inlineStr">
        <is>
          <t>PC_MISMATCH_FAIL</t>
        </is>
      </c>
      <c r="H15" s="39">
        <f>IF(MID(source!$AN$10,1,1)="1",1,"0")</f>
        <v/>
      </c>
      <c r="I15" s="26" t="n"/>
      <c r="J15" s="34" t="n"/>
    </row>
    <row r="16">
      <c r="F16" s="42" t="n">
        <v>7</v>
      </c>
      <c r="G16" s="38" t="inlineStr">
        <is>
          <t>PC_EBOX_FAIL</t>
        </is>
      </c>
      <c r="H16" s="39">
        <f>IF(MID(source!$AM$10,1,1)="1",1,"0")</f>
        <v/>
      </c>
      <c r="I16" s="26" t="n"/>
      <c r="J16" s="34" t="n"/>
    </row>
    <row r="17" ht="30" customHeight="1">
      <c r="F17" s="42" t="n">
        <v>8</v>
      </c>
      <c r="G17" s="38" t="inlineStr">
        <is>
          <t>ROM_CRC_FAIL</t>
        </is>
      </c>
      <c r="H17" s="39">
        <f>IF(MID(source!$AL$10,1,1)="1",1,"0")</f>
        <v/>
      </c>
      <c r="I17" s="46" t="inlineStr">
        <is>
          <t>IC700
IC701</t>
        </is>
      </c>
      <c r="J17" s="34" t="n"/>
    </row>
    <row r="18" ht="30" customHeight="1">
      <c r="F18" s="42" t="n">
        <v>9</v>
      </c>
      <c r="G18" s="38" t="inlineStr">
        <is>
          <t>RS422_WR_FAIL</t>
        </is>
      </c>
      <c r="H18" s="39">
        <f>IF(MID(source!$AK$10,1,1)="1",1,"0")</f>
        <v/>
      </c>
      <c r="I18" s="46" t="inlineStr">
        <is>
          <t>IC1700
IC1701</t>
        </is>
      </c>
      <c r="J18" s="34" t="inlineStr">
        <is>
          <t xml:space="preserve">устанавливается в 1, когда РК RS_Select - GND </t>
        </is>
      </c>
    </row>
    <row r="19">
      <c r="F19" s="42" t="n">
        <v>10</v>
      </c>
      <c r="G19" s="38" t="inlineStr">
        <is>
          <t>RS422_CHECKSUM_FAIL</t>
        </is>
      </c>
      <c r="H19" s="39">
        <f>IF(MID(source!$AJ$10,1,1)="1",1,"0")</f>
        <v/>
      </c>
      <c r="I19" s="26" t="n"/>
      <c r="J19" s="34" t="inlineStr">
        <is>
          <t>Устанавливается при отправке по RS232, при отключённом RS422 ??</t>
        </is>
      </c>
    </row>
    <row r="20" ht="60" customHeight="1">
      <c r="F20" s="42" t="n">
        <v>11</v>
      </c>
      <c r="G20" s="38" t="inlineStr">
        <is>
          <t>CAL_TIME_CLOSE_FAIL</t>
        </is>
      </c>
      <c r="H20" s="39">
        <f>IF(MID(source!$AI$10,1,1)="1",1,"0")</f>
        <v/>
      </c>
      <c r="I20" s="47" t="inlineStr">
        <is>
          <t>defective FDM
defective EBox
defective AuMot
defective Gbox</t>
        </is>
      </c>
      <c r="J20" s="34" t="n"/>
    </row>
    <row r="21">
      <c r="F21" s="42" t="n">
        <v>12</v>
      </c>
      <c r="G21" s="38" t="inlineStr">
        <is>
          <t>WDT_EXPIRED_FAIL</t>
        </is>
      </c>
      <c r="H21" s="39">
        <f>IF(MID(source!$AH$10,1,1)="1",1,"0")</f>
        <v/>
      </c>
      <c r="I21" s="26" t="n"/>
      <c r="J21" s="34" t="n"/>
    </row>
    <row r="22" ht="60" customHeight="1">
      <c r="F22" s="42" t="n">
        <v>13</v>
      </c>
      <c r="G22" s="38" t="inlineStr">
        <is>
          <t>PC_STEP_FAIL</t>
        </is>
      </c>
      <c r="H22" s="39">
        <f>IF(MID(source!$AG$10,1,1)="1",1,"0")</f>
        <v/>
      </c>
      <c r="I22" s="47" t="inlineStr">
        <is>
          <t>defective pressure
transducer
IC600</t>
        </is>
      </c>
      <c r="J22" s="34" t="n"/>
    </row>
    <row r="23">
      <c r="F23" s="42" t="n">
        <v>14</v>
      </c>
      <c r="G23" s="38" t="inlineStr">
        <is>
          <t>ADIRS1_DATA_OUT_OF_RANGE</t>
        </is>
      </c>
      <c r="H23" s="39">
        <f>IF(MID(source!$AF$10,1,1)="1",1,"0")</f>
        <v/>
      </c>
      <c r="I23" s="26" t="inlineStr">
        <is>
          <t>External</t>
        </is>
      </c>
      <c r="J23" s="34" t="n"/>
    </row>
    <row r="24">
      <c r="F24" s="42" t="n">
        <v>15</v>
      </c>
      <c r="G24" s="38" t="inlineStr">
        <is>
          <t>ADIRS2_DATA_OUT_OF_RANGE</t>
        </is>
      </c>
      <c r="H24" s="39">
        <f>IF(MID(source!$AE$10,1,1)="1",1,"0")</f>
        <v/>
      </c>
      <c r="I24" s="26" t="inlineStr">
        <is>
          <t>External</t>
        </is>
      </c>
      <c r="J24" s="34" t="n"/>
    </row>
    <row r="25">
      <c r="F25" s="42" t="n">
        <v>16</v>
      </c>
      <c r="G25" s="38" t="inlineStr">
        <is>
          <t>UNUSED</t>
        </is>
      </c>
      <c r="H25" s="39">
        <f>IF(MID(source!$AT$11,1,1)="1",1,"0")</f>
        <v/>
      </c>
      <c r="I25" s="26" t="n"/>
      <c r="J25" s="34" t="n"/>
    </row>
    <row r="26">
      <c r="F26" s="42" t="n">
        <v>17</v>
      </c>
      <c r="G26" s="38" t="inlineStr">
        <is>
          <t>EIU_SIGNAL_REPLACED</t>
        </is>
      </c>
      <c r="H26" s="39">
        <f>IF(MID(source!$AS$11,1,1)="1",1,"0")</f>
        <v/>
      </c>
      <c r="I26" s="26" t="n"/>
      <c r="J26" s="34" t="n"/>
    </row>
    <row r="27">
      <c r="F27" s="42" t="n">
        <v>18</v>
      </c>
      <c r="G27" s="38" t="inlineStr">
        <is>
          <t>ZCAL_FAIL</t>
        </is>
      </c>
      <c r="H27" s="39">
        <f>IF(MID(source!$AR$11,1,1)="1",1,"0")</f>
        <v/>
      </c>
      <c r="I27" s="26" t="n"/>
      <c r="J27" s="34" t="n"/>
    </row>
    <row r="28">
      <c r="F28" s="42" t="n">
        <v>19</v>
      </c>
      <c r="G28" s="38" t="inlineStr">
        <is>
          <t>ADIRS1_FAIL</t>
        </is>
      </c>
      <c r="H28" s="39">
        <f>IF(MID(source!$AQ$11,1,1)="1",1,"0")</f>
        <v/>
      </c>
      <c r="I28" s="26" t="inlineStr">
        <is>
          <t>External</t>
        </is>
      </c>
      <c r="J28" s="34" t="n"/>
    </row>
    <row r="29">
      <c r="F29" s="42" t="n">
        <v>20</v>
      </c>
      <c r="G29" s="38" t="inlineStr">
        <is>
          <t>ADIRS2_FAIL</t>
        </is>
      </c>
      <c r="H29" s="39">
        <f>IF(MID(source!$AP$11,1,1)="1",1,"0")</f>
        <v/>
      </c>
      <c r="I29" s="26" t="inlineStr">
        <is>
          <t>External</t>
        </is>
      </c>
      <c r="J29" s="34" t="n"/>
    </row>
    <row r="30">
      <c r="F30" s="42" t="n">
        <v>21</v>
      </c>
      <c r="G30" s="38" t="inlineStr">
        <is>
          <t>ADIRS3_FAIL</t>
        </is>
      </c>
      <c r="H30" s="39">
        <f>IF(MID(source!$AO$11,1,1)="1",1,"0")</f>
        <v/>
      </c>
      <c r="I30" s="26" t="inlineStr">
        <is>
          <t>External</t>
        </is>
      </c>
      <c r="J30" s="34" t="n"/>
    </row>
    <row r="31" ht="75" customHeight="1">
      <c r="F31" s="42" t="n">
        <v>22</v>
      </c>
      <c r="G31" s="38" t="inlineStr">
        <is>
          <t>ARINC_WR_FAIL</t>
        </is>
      </c>
      <c r="H31" s="39">
        <f>IF(MID(source!$AN$11,1,1)="1",1,"0")</f>
        <v/>
      </c>
      <c r="I31" s="46" t="inlineStr">
        <is>
          <t>IC1000
IC1008
IC1100
IC1005
IC900</t>
        </is>
      </c>
      <c r="J31" s="34" t="n"/>
    </row>
    <row r="32">
      <c r="F32" s="42" t="n">
        <v>23</v>
      </c>
      <c r="G32" s="38" t="inlineStr">
        <is>
          <t>RS422_ACTIVITY_FAIL</t>
        </is>
      </c>
      <c r="H32" s="39">
        <f>IF(MID(source!$AM$11,1,1)="1",1,"0")</f>
        <v/>
      </c>
      <c r="I32" s="26" t="n"/>
      <c r="J32" s="34" t="n"/>
    </row>
    <row r="33">
      <c r="F33" s="42" t="n">
        <v>24</v>
      </c>
      <c r="G33" s="38" t="inlineStr">
        <is>
          <t>SLEW_RATE_CLOSE_FAIL</t>
        </is>
      </c>
      <c r="H33" s="39">
        <f>IF(MID(source!$AL$11,1,1)="1",1,"0")</f>
        <v/>
      </c>
      <c r="I33" s="26" t="n"/>
      <c r="J33" s="34" t="n"/>
    </row>
    <row r="34" ht="30" customHeight="1">
      <c r="F34" s="42" t="n">
        <v>25</v>
      </c>
      <c r="G34" s="38" t="inlineStr">
        <is>
          <t>ZCAL_OPEN_FAIL</t>
        </is>
      </c>
      <c r="H34" s="39">
        <f>IF(MID(source!$AK$11,1,1)="1",1,"0")</f>
        <v/>
      </c>
      <c r="I34" s="47" t="inlineStr">
        <is>
          <t>defective FDM
defective EBox</t>
        </is>
      </c>
      <c r="J34" s="34" t="n"/>
    </row>
    <row r="35" ht="30" customHeight="1">
      <c r="F35" s="42" t="n">
        <v>26</v>
      </c>
      <c r="G35" s="38" t="inlineStr">
        <is>
          <t>ZCAL_CLOSE_FAIL</t>
        </is>
      </c>
      <c r="H35" s="39">
        <f>IF(MID(source!$AJ$11,1,1)="1",1,"0")</f>
        <v/>
      </c>
      <c r="I35" s="47" t="inlineStr">
        <is>
          <t>defective FDM
defective Ebox</t>
        </is>
      </c>
      <c r="J35" s="34" t="n"/>
    </row>
    <row r="36">
      <c r="F36" s="42" t="n">
        <v>27</v>
      </c>
      <c r="G36" s="38" t="inlineStr">
        <is>
          <t>ADIRS3_DATA_OUT_OF_RANGE</t>
        </is>
      </c>
      <c r="H36" s="39">
        <f>IF(MID(source!$AI$11,1,1)="1",1,"0")</f>
        <v/>
      </c>
      <c r="I36" s="26" t="inlineStr">
        <is>
          <t>External</t>
        </is>
      </c>
      <c r="J36" s="34" t="n"/>
    </row>
    <row r="37">
      <c r="F37" s="42" t="n">
        <v>28</v>
      </c>
      <c r="G37" s="38" t="inlineStr">
        <is>
          <t>STATE_CHANGE_DURING_SCBIT</t>
        </is>
      </c>
      <c r="H37" s="39">
        <f>IF(MID(source!$AH$11,1,1)="1",1,"0")</f>
        <v/>
      </c>
      <c r="I37" s="26" t="n"/>
      <c r="J37" s="34" t="n"/>
    </row>
    <row r="38">
      <c r="F38" s="42" t="n">
        <v>29</v>
      </c>
      <c r="G38" s="38" t="inlineStr">
        <is>
          <t>SCBIT_START_FAIL</t>
        </is>
      </c>
      <c r="H38" s="39">
        <f>IF(MID(source!$AG$11,1,1)="1",1,"0")</f>
        <v/>
      </c>
      <c r="I38" s="26" t="inlineStr">
        <is>
          <t>OFV</t>
        </is>
      </c>
      <c r="J38" s="34" t="n"/>
    </row>
    <row r="39">
      <c r="F39" s="42" t="n">
        <v>30</v>
      </c>
      <c r="G39" s="38" t="inlineStr">
        <is>
          <t>PC_VERSUS_PA_FAIL</t>
        </is>
      </c>
      <c r="H39" s="39">
        <f>IF(MID(source!$AF$11,1,1)="1",1,"0")</f>
        <v/>
      </c>
      <c r="I39" s="26" t="n"/>
      <c r="J39" s="34" t="n"/>
    </row>
    <row r="40">
      <c r="F40" s="42" t="n">
        <v>31</v>
      </c>
      <c r="G40" s="38" t="inlineStr">
        <is>
          <t>PC_EBOX_VERSUS_PA_FAIL</t>
        </is>
      </c>
      <c r="H40" s="39">
        <f>IF(MID(source!$AE$11,1,1)="1",1,"0")</f>
        <v/>
      </c>
      <c r="I40" s="26" t="n"/>
      <c r="J40" s="34" t="n"/>
    </row>
    <row r="41">
      <c r="F41" s="42" t="n">
        <v>32</v>
      </c>
      <c r="G41" s="38" t="inlineStr">
        <is>
          <t>SYSTEM_FAIL</t>
        </is>
      </c>
      <c r="H41" s="39">
        <f>IF(MID(source!$AT$12,1,1)="1",1,"0")</f>
        <v/>
      </c>
      <c r="I41" s="26" t="n"/>
      <c r="J41" s="34" t="n"/>
    </row>
    <row r="42" ht="30" customHeight="1">
      <c r="F42" s="42" t="n">
        <v>33</v>
      </c>
      <c r="G42" s="38" t="inlineStr">
        <is>
          <t>OFV_BETA_FAIL</t>
        </is>
      </c>
      <c r="H42" s="39">
        <f>IF(MID(source!$AS$12,1,1)="1",1,"0")</f>
        <v/>
      </c>
      <c r="I42" s="47" t="inlineStr">
        <is>
          <t>defective FDM
defective Ebox</t>
        </is>
      </c>
      <c r="J42" s="34" t="n"/>
    </row>
    <row r="43" ht="75" customHeight="1">
      <c r="F43" s="42" t="n">
        <v>34</v>
      </c>
      <c r="G43" s="38" t="inlineStr">
        <is>
          <t>HIGH_CABIN_RATE_FAIL</t>
        </is>
      </c>
      <c r="H43" s="39">
        <f>IF(MID(source!$AR$12,1,1)="1",1,"0")</f>
        <v/>
      </c>
      <c r="I43" s="47" t="inlineStr">
        <is>
          <t>defective pressure
transducer
IC600
IC601</t>
        </is>
      </c>
      <c r="J43" s="34" t="n"/>
    </row>
    <row r="44">
      <c r="F44" s="42" t="n">
        <v>35</v>
      </c>
      <c r="G44" s="38" t="inlineStr">
        <is>
          <t>LGCIU_SIGNAL_REPLACED</t>
        </is>
      </c>
      <c r="H44" s="39">
        <f>IF(MID(source!$AQ$12,1,1)="1",1,"0")</f>
        <v/>
      </c>
      <c r="I44" s="26" t="n"/>
      <c r="J44" s="34" t="n"/>
    </row>
    <row r="45">
      <c r="F45" s="42" t="n">
        <v>36</v>
      </c>
      <c r="G45" s="38" t="inlineStr">
        <is>
          <t>+15V_POWER_FAIL</t>
        </is>
      </c>
      <c r="H45" s="39">
        <f>IF(MID(source!$AP$12,1,1)="1",1,"0")</f>
        <v/>
      </c>
      <c r="I45" s="26" t="inlineStr">
        <is>
          <t>IC1800</t>
        </is>
      </c>
      <c r="J45" s="34" t="n"/>
    </row>
    <row r="46">
      <c r="F46" s="42" t="n">
        <v>37</v>
      </c>
      <c r="G46" s="38" t="inlineStr">
        <is>
          <t>-15V_POWER_FAIL</t>
        </is>
      </c>
      <c r="H46" s="39">
        <f>IF(MID(source!$AO$12,1,1)="1",1,"0")</f>
        <v/>
      </c>
      <c r="I46" s="46" t="inlineStr">
        <is>
          <t>IC1800</t>
        </is>
      </c>
      <c r="J46" s="34" t="n"/>
    </row>
    <row r="47">
      <c r="F47" s="42" t="n">
        <v>38</v>
      </c>
      <c r="G47" s="38" t="inlineStr">
        <is>
          <t>AD_CONVERTER_FAIL</t>
        </is>
      </c>
      <c r="H47" s="39">
        <f>IF(MID(source!$AN$12,1,1)="1",1,"0")</f>
        <v/>
      </c>
      <c r="I47" s="26" t="inlineStr">
        <is>
          <t>IC600</t>
        </is>
      </c>
      <c r="J47" s="34" t="n"/>
    </row>
    <row r="48">
      <c r="F48" s="42" t="n">
        <v>39</v>
      </c>
      <c r="G48" s="38" t="inlineStr">
        <is>
          <t>CFDS_WR_FAIL</t>
        </is>
      </c>
      <c r="H48" s="39">
        <f>IF(MID(source!$AM$12,1,1)="1",1,"0")</f>
        <v/>
      </c>
      <c r="I48" s="26" t="n"/>
      <c r="J48" s="34" t="n"/>
    </row>
    <row r="49">
      <c r="F49" s="42" t="n">
        <v>40</v>
      </c>
      <c r="G49" s="38" t="inlineStr">
        <is>
          <t>PASS_SIGN_WR_FAIL</t>
        </is>
      </c>
      <c r="H49" s="39">
        <f>IF(MID(source!$AL$12,1,1)="1",1,"0")</f>
        <v/>
      </c>
      <c r="I49" s="26" t="n"/>
      <c r="J49" s="34" t="n"/>
    </row>
    <row r="50">
      <c r="F50" s="42" t="n">
        <v>41</v>
      </c>
      <c r="G50" s="38" t="inlineStr">
        <is>
          <t>FAULT_WARN_WR_FAIL</t>
        </is>
      </c>
      <c r="H50" s="39">
        <f>IF(MID(source!$AK$12,1,1)="1",1,"0")</f>
        <v/>
      </c>
      <c r="I50" s="26" t="inlineStr">
        <is>
          <t>IC1604</t>
        </is>
      </c>
      <c r="J50" s="34" t="n"/>
    </row>
    <row r="51" ht="30" customHeight="1">
      <c r="F51" s="42" t="n">
        <v>42</v>
      </c>
      <c r="G51" s="38" t="inlineStr">
        <is>
          <t>PC_CAL_ROM_FAIL</t>
        </is>
      </c>
      <c r="H51" s="39">
        <f>IF(MID(source!$AJ$12,1,1)="1",1,"0")</f>
        <v/>
      </c>
      <c r="I51" s="47" t="inlineStr">
        <is>
          <t>Pressure Sensor
IC500</t>
        </is>
      </c>
      <c r="J51" s="34" t="inlineStr">
        <is>
          <t>Должна ичезать при подключении штатного датчика</t>
        </is>
      </c>
    </row>
    <row r="52">
      <c r="F52" s="42" t="n">
        <v>43</v>
      </c>
      <c r="G52" s="38" t="inlineStr">
        <is>
          <t>NVM_FAIL</t>
        </is>
      </c>
      <c r="H52" s="39">
        <f>IF(MID(source!$AI$12,1,1)="1",1,"0")</f>
        <v/>
      </c>
      <c r="I52" s="26" t="n"/>
      <c r="J52" s="34" t="n"/>
    </row>
    <row r="53">
      <c r="F53" s="42" t="n">
        <v>44</v>
      </c>
      <c r="G53" s="38" t="inlineStr">
        <is>
          <t>CFDS_BUS_FAIL</t>
        </is>
      </c>
      <c r="H53" s="39">
        <f>IF(MID(source!$AH$12,1,1)="1",1,"0")</f>
        <v/>
      </c>
      <c r="I53" s="26" t="n"/>
      <c r="J53" s="34" t="n"/>
    </row>
    <row r="54">
      <c r="F54" s="42" t="n">
        <v>45</v>
      </c>
      <c r="G54" s="38" t="inlineStr">
        <is>
          <t>ADIRS1_WR_FAIL</t>
        </is>
      </c>
      <c r="H54" s="39">
        <f>IF(MID(source!$AG$12,1,1)="1",1,"0")</f>
        <v/>
      </c>
      <c r="I54" s="26" t="n"/>
      <c r="J54" s="34" t="n"/>
    </row>
    <row r="55">
      <c r="F55" s="42" t="n">
        <v>46</v>
      </c>
      <c r="G55" s="38" t="inlineStr">
        <is>
          <t>ADIRS2_WR_FAIL</t>
        </is>
      </c>
      <c r="H55" s="39">
        <f>IF(MID(source!$AF$12,1,1)="1",1,"0")</f>
        <v/>
      </c>
      <c r="I55" s="26" t="n"/>
      <c r="J55" s="34" t="n"/>
    </row>
    <row r="56">
      <c r="F56" s="42" t="n">
        <v>47</v>
      </c>
      <c r="G56" s="38" t="inlineStr">
        <is>
          <t>ADIRS3_WR_FAIL</t>
        </is>
      </c>
      <c r="H56" s="39">
        <f>IF(MID(source!$AE$12,1,1)="1",1,"0")</f>
        <v/>
      </c>
      <c r="I56" s="26" t="n"/>
      <c r="J56" s="34" t="n"/>
    </row>
    <row r="57">
      <c r="F57" s="42" t="n">
        <v>48</v>
      </c>
      <c r="G57" s="38" t="inlineStr">
        <is>
          <t>WDT_TEST_FAIL</t>
        </is>
      </c>
      <c r="H57" s="39">
        <f>IF(MID(source!$AT$13,1,1)="1",1,"0")</f>
        <v/>
      </c>
      <c r="I57" s="26" t="n"/>
      <c r="J57" s="34" t="n"/>
    </row>
    <row r="58">
      <c r="F58" s="42" t="n">
        <v>49</v>
      </c>
      <c r="G58" s="38" t="inlineStr">
        <is>
          <t>FMS1_WR_FAIL</t>
        </is>
      </c>
      <c r="H58" s="39">
        <f>IF(MID(source!$AS$13,1,1)="1",1,"0")</f>
        <v/>
      </c>
      <c r="I58" s="26" t="n"/>
      <c r="J58" s="34" t="n"/>
    </row>
    <row r="59">
      <c r="F59" s="42" t="n">
        <v>50</v>
      </c>
      <c r="G59" s="38" t="inlineStr">
        <is>
          <t>LFES_FAIL</t>
        </is>
      </c>
      <c r="H59" s="39">
        <f>IF(MID(source!$AR$13,1,1)="1",1,"0")</f>
        <v/>
      </c>
      <c r="I59" s="46" t="inlineStr">
        <is>
          <t>LFES</t>
        </is>
      </c>
      <c r="J59" s="34" t="n"/>
    </row>
    <row r="60" ht="30" customHeight="1">
      <c r="F60" s="42" t="n">
        <v>51</v>
      </c>
      <c r="G60" s="38" t="inlineStr">
        <is>
          <t>RS422_FAULT_ISOLATION_CTR_FAIL</t>
        </is>
      </c>
      <c r="H60" s="39">
        <f>IF(MID(source!$AQ$13,1,1)="1",1,"0")</f>
        <v/>
      </c>
      <c r="I60" s="46" t="inlineStr">
        <is>
          <t>IC1700
IC1701</t>
        </is>
      </c>
      <c r="J60" s="34" t="n"/>
    </row>
    <row r="61" ht="45" customHeight="1">
      <c r="F61" s="42" t="n">
        <v>52</v>
      </c>
      <c r="G61" s="38" t="inlineStr">
        <is>
          <t>RS422_FAULT_ISOLATION_ACT_FAIL</t>
        </is>
      </c>
      <c r="H61" s="39">
        <f>IF(MID(source!$AP$13,1,1)="1",1,"0")</f>
        <v/>
      </c>
      <c r="I61" s="46" t="inlineStr">
        <is>
          <t>defective A/C wiring
defective Ebox</t>
        </is>
      </c>
      <c r="J61" s="34" t="n"/>
    </row>
    <row r="62">
      <c r="F62" s="42" t="n">
        <v>53</v>
      </c>
      <c r="G62" s="38" t="inlineStr">
        <is>
          <t>FMS2_WR_FAIL</t>
        </is>
      </c>
      <c r="H62" s="39">
        <f>IF(MID(source!$AO$13,1,1)="1",1,"0")</f>
        <v/>
      </c>
      <c r="I62" s="26" t="n"/>
      <c r="J62" s="34" t="n"/>
    </row>
    <row r="63">
      <c r="F63" s="42" t="n">
        <v>54</v>
      </c>
      <c r="G63" s="38" t="inlineStr">
        <is>
          <t>FMS1_FAIL</t>
        </is>
      </c>
      <c r="H63" s="39">
        <f>IF(MID(source!$AN$13,1,1)="1",1,"0")</f>
        <v/>
      </c>
      <c r="I63" s="26" t="inlineStr">
        <is>
          <t>External</t>
        </is>
      </c>
      <c r="J63" s="34" t="n"/>
    </row>
    <row r="64">
      <c r="F64" s="42" t="n">
        <v>55</v>
      </c>
      <c r="G64" s="38" t="inlineStr">
        <is>
          <t>FMS2_FAIL</t>
        </is>
      </c>
      <c r="H64" s="39">
        <f>IF(MID(source!$AM$13,1,1)="1",1,"0")</f>
        <v/>
      </c>
      <c r="I64" s="26" t="inlineStr">
        <is>
          <t>External</t>
        </is>
      </c>
      <c r="J64" s="34" t="n"/>
    </row>
    <row r="65">
      <c r="F65" s="42" t="n">
        <v>56</v>
      </c>
      <c r="G65" s="38" t="inlineStr">
        <is>
          <t>28V_DRIVE_LOW</t>
        </is>
      </c>
      <c r="H65" s="39">
        <f>IF(MID(source!$AL$13,1,1)="1",1,"0")</f>
        <v/>
      </c>
      <c r="I65" s="26" t="n"/>
      <c r="J65" s="34" t="n"/>
    </row>
    <row r="66">
      <c r="F66" s="42" t="n">
        <v>57</v>
      </c>
      <c r="G66" s="38" t="inlineStr">
        <is>
          <t>+28V_DRIVE_CUT_OFF</t>
        </is>
      </c>
      <c r="H66" s="39">
        <f>IF(MID(source!$AK$13,1,1)="1",1,"0")</f>
        <v/>
      </c>
      <c r="I66" s="26" t="n"/>
      <c r="J66" s="34" t="n"/>
    </row>
    <row r="67">
      <c r="F67" s="42" t="n">
        <v>58</v>
      </c>
      <c r="G67" s="38" t="inlineStr">
        <is>
          <t>HSS_OPEN_FAIL</t>
        </is>
      </c>
      <c r="H67" s="39">
        <f>IF(MID(source!$AJ$13,1,1)="1",1,"0")</f>
        <v/>
      </c>
      <c r="I67" s="26" t="n"/>
      <c r="J67" s="34" t="n"/>
    </row>
    <row r="68">
      <c r="F68" s="42" t="n">
        <v>59</v>
      </c>
      <c r="G68" s="38" t="inlineStr">
        <is>
          <t>HSS_SHORT_FAIL</t>
        </is>
      </c>
      <c r="H68" s="39">
        <f>IF(MID(source!$AI$13,1,1)="1",1,"0")</f>
        <v/>
      </c>
      <c r="I68" s="26" t="n"/>
      <c r="J68" s="34" t="n"/>
    </row>
    <row r="69">
      <c r="F69" s="42" t="n">
        <v>60</v>
      </c>
      <c r="G69" s="38" t="inlineStr">
        <is>
          <t>SLEW_RATE_OPEN_FAIL</t>
        </is>
      </c>
      <c r="H69" s="39">
        <f>IF(MID(source!$AH$13,1,1)="1",1,"0")</f>
        <v/>
      </c>
      <c r="I69" s="26" t="n"/>
      <c r="J69" s="34" t="n"/>
    </row>
    <row r="70" ht="45" customHeight="1">
      <c r="F70" s="42" t="n">
        <v>61</v>
      </c>
      <c r="G70" s="38" t="inlineStr">
        <is>
          <t>PC_SENSOR_FAIL</t>
        </is>
      </c>
      <c r="H70" s="39">
        <f>IF(MID(source!$AG$13,1,1)="1",1,"0")</f>
        <v/>
      </c>
      <c r="I70" s="47" t="inlineStr">
        <is>
          <t>Pressure Sensor
IC600
IC601</t>
        </is>
      </c>
      <c r="J70" s="34" t="inlineStr">
        <is>
          <t>Должна ичезать при подключении штатного датчика</t>
        </is>
      </c>
    </row>
    <row r="71">
      <c r="F71" s="42" t="n">
        <v>62</v>
      </c>
      <c r="G71" s="38" t="inlineStr">
        <is>
          <t>SCBIT_OPEN_FAIL</t>
        </is>
      </c>
      <c r="H71" s="39">
        <f>IF(MID(source!$AF$13,1,1)="1",1,"0")</f>
        <v/>
      </c>
      <c r="I71" s="26" t="n"/>
      <c r="J71" s="34" t="n"/>
    </row>
    <row r="72">
      <c r="F72" s="42" t="n">
        <v>63</v>
      </c>
      <c r="G72" s="38" t="inlineStr">
        <is>
          <t>SCBIT_CLOSE_FAIL</t>
        </is>
      </c>
      <c r="H72" s="39">
        <f>IF(MID(source!$AE$13,1,1)="1",1,"0")</f>
        <v/>
      </c>
      <c r="I72" s="26" t="n"/>
      <c r="J72" s="34" t="n"/>
    </row>
    <row r="73">
      <c r="F73" s="42" t="n">
        <v>64</v>
      </c>
      <c r="G73" s="38" t="inlineStr">
        <is>
          <t>OFV_RAM_FAIL_RAM</t>
        </is>
      </c>
      <c r="H73" s="39">
        <f>IF(MID(source!$AT$14,1,1)="1",1,"0")</f>
        <v/>
      </c>
      <c r="I73" s="26" t="inlineStr">
        <is>
          <t>defective Ebox</t>
        </is>
      </c>
      <c r="J73" s="34" t="n"/>
    </row>
    <row r="74">
      <c r="F74" s="42" t="n">
        <v>65</v>
      </c>
      <c r="G74" s="38" t="inlineStr">
        <is>
          <t>OFV_RAM_FAIL_REG</t>
        </is>
      </c>
      <c r="H74" s="39">
        <f>IF(MID(source!$AS$14,1,1)="1",1,"0")</f>
        <v/>
      </c>
      <c r="I74" s="26" t="inlineStr">
        <is>
          <t>defective Ebox</t>
        </is>
      </c>
      <c r="J74" s="34" t="n"/>
    </row>
    <row r="75">
      <c r="F75" s="42" t="n">
        <v>66</v>
      </c>
      <c r="G75" s="38" t="inlineStr">
        <is>
          <t>OFV_INIT_RAM_FAIL_REG</t>
        </is>
      </c>
      <c r="H75" s="39">
        <f>IF(MID(source!$AR$14,1,1)="1",1,"0")</f>
        <v/>
      </c>
      <c r="I75" s="26" t="inlineStr">
        <is>
          <t>defective Ebox</t>
        </is>
      </c>
      <c r="J75" s="34" t="n"/>
    </row>
    <row r="76">
      <c r="F76" s="42" t="n">
        <v>67</v>
      </c>
      <c r="G76" s="38" t="inlineStr">
        <is>
          <t>OFV_INIT_RAM_FAIL_RAM</t>
        </is>
      </c>
      <c r="H76" s="39">
        <f>IF(MID(source!$AQ$14,1,1)="1",1,"0")</f>
        <v/>
      </c>
      <c r="I76" s="26" t="inlineStr">
        <is>
          <t>defective Ebox</t>
        </is>
      </c>
      <c r="J76" s="34" t="n"/>
    </row>
    <row r="77">
      <c r="F77" s="42" t="n">
        <v>68</v>
      </c>
      <c r="G77" s="38" t="inlineStr">
        <is>
          <t>MOTOR_DRIVER_OVERCURRENT</t>
        </is>
      </c>
      <c r="H77" s="39">
        <f>IF(MID(source!$AP$14,1,1)="1",1,"0")</f>
        <v/>
      </c>
      <c r="I77" s="26" t="n"/>
      <c r="J77" s="34" t="n"/>
    </row>
    <row r="78">
      <c r="F78" s="42" t="n">
        <v>69</v>
      </c>
      <c r="G78" s="38" t="inlineStr">
        <is>
          <t>UNUSED</t>
        </is>
      </c>
      <c r="H78" s="39">
        <f>IF(MID(source!$AO$14,1,1)="1",1,"0")</f>
        <v/>
      </c>
      <c r="I78" s="26" t="n"/>
      <c r="J78" s="34" t="n"/>
    </row>
    <row r="79">
      <c r="F79" s="42" t="n">
        <v>70</v>
      </c>
      <c r="G79" s="38" t="inlineStr">
        <is>
          <t>OFV_BACKGROUND_TIMEOUT</t>
        </is>
      </c>
      <c r="H79" s="39">
        <f>IF(MID(source!$AN$14,1,1)="1",1,"0")</f>
        <v/>
      </c>
      <c r="I79" s="26" t="n"/>
      <c r="J79" s="34" t="n"/>
    </row>
    <row r="80">
      <c r="F80" s="42" t="n">
        <v>71</v>
      </c>
      <c r="G80" s="38" t="inlineStr">
        <is>
          <t>OFV_SIGNPOST_FAIL</t>
        </is>
      </c>
      <c r="H80" s="39">
        <f>IF(MID(source!$AM$14,1,1)="1",1,"0")</f>
        <v/>
      </c>
      <c r="I80" s="26" t="n"/>
      <c r="J80" s="34" t="n"/>
    </row>
    <row r="81">
      <c r="F81" s="42" t="n">
        <v>72</v>
      </c>
      <c r="G81" s="38" t="inlineStr">
        <is>
          <t>OFV_ROM_CRC_FAIL</t>
        </is>
      </c>
      <c r="H81" s="39">
        <f>IF(MID(source!$AL$14,1,1)="1",1,"0")</f>
        <v/>
      </c>
      <c r="I81" s="26" t="inlineStr">
        <is>
          <t>defective Ebox</t>
        </is>
      </c>
      <c r="J81" s="34" t="n"/>
    </row>
    <row r="82">
      <c r="F82" s="42" t="n">
        <v>73</v>
      </c>
      <c r="G82" s="38" t="inlineStr">
        <is>
          <t>OFV_RS422_WR_FAIL</t>
        </is>
      </c>
      <c r="H82" s="39">
        <f>IF(MID(source!$AK$14,1,1)="1",1,"0")</f>
        <v/>
      </c>
      <c r="I82" s="26" t="inlineStr">
        <is>
          <t>defective Ebox</t>
        </is>
      </c>
      <c r="J82" s="34" t="n"/>
    </row>
    <row r="83">
      <c r="F83" s="42" t="n">
        <v>74</v>
      </c>
      <c r="G83" s="38" t="inlineStr">
        <is>
          <t>OFV_RS422_ACTIVITY_FAIL</t>
        </is>
      </c>
      <c r="H83" s="39">
        <f>IF(MID(source!$AJ$14,1,1)="1",1,"0")</f>
        <v/>
      </c>
      <c r="I83" s="26" t="inlineStr">
        <is>
          <t>defective Ebox</t>
        </is>
      </c>
      <c r="J83" s="34" t="n"/>
    </row>
    <row r="84">
      <c r="F84" s="42" t="n">
        <v>75</v>
      </c>
      <c r="G84" s="38" t="inlineStr">
        <is>
          <t>OFV_RS422_RCVR_INTR_FAIL</t>
        </is>
      </c>
      <c r="H84" s="39">
        <f>IF(MID(source!$AI$14,1,1)="1",1,"0")</f>
        <v/>
      </c>
      <c r="I84" s="26" t="inlineStr">
        <is>
          <t>defective Ebox</t>
        </is>
      </c>
      <c r="J84" s="34" t="n"/>
    </row>
    <row r="85" ht="60" customHeight="1">
      <c r="F85" s="42" t="n">
        <v>76</v>
      </c>
      <c r="G85" s="41" t="inlineStr">
        <is>
          <t>MOTOR_DIRECTION_WR_FAIL
μC cannot send motor direction correctly. (OFV P/N
20790-xxyy)</t>
        </is>
      </c>
      <c r="H85" s="39">
        <f>IF(MID(source!$AH$14,1,1)="1",1,"0")</f>
        <v/>
      </c>
      <c r="I85" s="39" t="inlineStr">
        <is>
          <t>defective Ebox</t>
        </is>
      </c>
      <c r="J85" s="40" t="inlineStr">
        <is>
          <t>OFV_DISCRETE_MUX_FAIL
μC cannot send motor direction correctly. (OFV P/N
9023-15703-xx)</t>
        </is>
      </c>
    </row>
    <row r="86" ht="30" customHeight="1">
      <c r="F86" s="42" t="n">
        <v>77</v>
      </c>
      <c r="G86" s="38" t="inlineStr">
        <is>
          <t>OFV_SENSOR_EXCITATION_FAIL</t>
        </is>
      </c>
      <c r="H86" s="39">
        <f>IF(MID(source!$AG$14,1,1)="1",1,"0")</f>
        <v/>
      </c>
      <c r="I86" s="46" t="inlineStr">
        <is>
          <t>defective FDM
defective Ebox</t>
        </is>
      </c>
      <c r="J86" s="34" t="n"/>
    </row>
    <row r="87" ht="30" customHeight="1">
      <c r="F87" s="42" t="n">
        <v>78</v>
      </c>
      <c r="G87" s="38" t="inlineStr">
        <is>
          <t>OFV_SENSOR_RANGE_FAIL</t>
        </is>
      </c>
      <c r="H87" s="39">
        <f>IF(MID(source!$AF$14,1,1)="1",1,"0")</f>
        <v/>
      </c>
      <c r="I87" s="46" t="inlineStr">
        <is>
          <t>defective FDM
defective Ebox</t>
        </is>
      </c>
      <c r="J87" s="34" t="n"/>
    </row>
    <row r="88">
      <c r="F88" s="42" t="n">
        <v>79</v>
      </c>
      <c r="G88" s="38" t="inlineStr">
        <is>
          <t>OFV_AIRCRAFT_ID</t>
        </is>
      </c>
      <c r="H88" s="39">
        <f>IF(MID(source!$AE$14,1,1)="1",1,"0")</f>
        <v/>
      </c>
      <c r="I88" s="26" t="n"/>
      <c r="J88" s="34" t="n"/>
    </row>
    <row r="89">
      <c r="F89" s="42" t="n">
        <v>80</v>
      </c>
      <c r="G89" s="38" t="inlineStr">
        <is>
          <t>OFV_A/D_FRAME_LATE_FAIL</t>
        </is>
      </c>
      <c r="H89" s="39">
        <f>IF(MID(source!$AT$15,1,1)="1",1,"0")</f>
        <v/>
      </c>
      <c r="I89" s="26" t="inlineStr">
        <is>
          <t>defective Ebox</t>
        </is>
      </c>
      <c r="J89" s="34" t="n"/>
    </row>
    <row r="90" ht="75" customHeight="1">
      <c r="F90" s="42" t="n">
        <v>81</v>
      </c>
      <c r="G90" s="38" t="inlineStr">
        <is>
          <t>OFV_LOOP_CLOSURE_FAIL</t>
        </is>
      </c>
      <c r="H90" s="39">
        <f>IF(MID(source!$AS$15,1,1)="1",1,"0")</f>
        <v/>
      </c>
      <c r="I90" s="46" t="inlineStr">
        <is>
          <t>defective EBox
defective AMot
defective GBx
defective A/C wiring</t>
        </is>
      </c>
      <c r="J90" s="34" t="n"/>
    </row>
    <row r="91">
      <c r="F91" s="42" t="n">
        <v>82</v>
      </c>
      <c r="G91" s="38" t="inlineStr">
        <is>
          <t>OFV_UNUSED_INTR</t>
        </is>
      </c>
      <c r="H91" s="39">
        <f>IF(MID(source!$AR$15,1,1)="1",1,"0")</f>
        <v/>
      </c>
      <c r="I91" s="26" t="n"/>
      <c r="J91" s="34" t="n"/>
    </row>
    <row r="92">
      <c r="F92" s="42" t="n">
        <v>83</v>
      </c>
      <c r="G92" s="38" t="inlineStr">
        <is>
          <t>OFV_ALU_FAIL</t>
        </is>
      </c>
      <c r="H92" s="39">
        <f>IF(MID(source!$AQ$15,1,1)="1",1,"0")</f>
        <v/>
      </c>
      <c r="I92" s="26" t="inlineStr">
        <is>
          <t>defective Ebox</t>
        </is>
      </c>
      <c r="J92" s="34" t="n"/>
    </row>
    <row r="93">
      <c r="F93" s="42" t="n">
        <v>84</v>
      </c>
      <c r="G93" s="38" t="inlineStr">
        <is>
          <t>OFV_CHAN1_SEL</t>
        </is>
      </c>
      <c r="H93" s="39">
        <f>IF(MID(source!$AP$15,1,1)="1",1,"0")</f>
        <v/>
      </c>
      <c r="I93" s="26" t="n"/>
      <c r="J93" s="34" t="n"/>
    </row>
    <row r="94">
      <c r="F94" s="42" t="n">
        <v>85</v>
      </c>
      <c r="G94" s="38" t="inlineStr">
        <is>
          <t>UNUSED</t>
        </is>
      </c>
      <c r="H94" s="39">
        <f>IF(MID(source!$AO$15,1,1)="1",1,"0")</f>
        <v/>
      </c>
      <c r="I94" s="26" t="n"/>
      <c r="J94" s="34" t="n"/>
    </row>
    <row r="95">
      <c r="F95" s="42" t="n">
        <v>86</v>
      </c>
      <c r="G95" s="38" t="inlineStr">
        <is>
          <t>UNUSED</t>
        </is>
      </c>
      <c r="H95" s="39">
        <f>IF(MID(source!$AN$15,1,1)="1",1,"0")</f>
        <v/>
      </c>
      <c r="I95" s="26" t="n"/>
      <c r="J95" s="34" t="n"/>
    </row>
    <row r="96" ht="30" customHeight="1">
      <c r="F96" s="42" t="n">
        <v>87</v>
      </c>
      <c r="G96" s="38" t="inlineStr">
        <is>
          <t>OFV_A/D_CONVERT_FAIL</t>
        </is>
      </c>
      <c r="H96" s="39">
        <f>IF(MID(source!$AM$15,1,1)="1",1,"0")</f>
        <v/>
      </c>
      <c r="I96" s="46" t="inlineStr">
        <is>
          <t xml:space="preserve">defective Ebox
</t>
        </is>
      </c>
      <c r="J96" s="34" t="n"/>
    </row>
    <row r="97" ht="30" customHeight="1">
      <c r="F97" s="42" t="n">
        <v>88</v>
      </c>
      <c r="G97" s="38" t="inlineStr">
        <is>
          <t>OFV_HALL_SENSOR_FAIL</t>
        </is>
      </c>
      <c r="H97" s="39">
        <f>IF(MID(source!$AL$15,1,1)="1",1,"0")</f>
        <v/>
      </c>
      <c r="I97" s="46" t="inlineStr">
        <is>
          <t>defective AMot
defective Ebox</t>
        </is>
      </c>
      <c r="J97" s="34" t="n"/>
    </row>
    <row r="98">
      <c r="F98" s="42" t="n">
        <v>89</v>
      </c>
      <c r="G98" s="38" t="inlineStr">
        <is>
          <t>OFV_SW_INTR_FAIL</t>
        </is>
      </c>
      <c r="H98" s="39">
        <f>IF(MID(source!$AK$15,1,1)="1",1,"0")</f>
        <v/>
      </c>
      <c r="I98" s="26" t="n"/>
      <c r="J98" s="34" t="n"/>
    </row>
    <row r="99">
      <c r="F99" s="42" t="n">
        <v>90</v>
      </c>
      <c r="G99" s="38" t="inlineStr">
        <is>
          <t>OFV_CAB_PRESS_SWITCH_ACTIVE</t>
        </is>
      </c>
      <c r="H99" s="39">
        <f>IF(MID(source!$AJ$15,1,1)="1",1,"0")</f>
        <v/>
      </c>
      <c r="I99" s="26" t="n"/>
      <c r="J99" s="34" t="n"/>
    </row>
    <row r="100">
      <c r="F100" s="42" t="n">
        <v>91</v>
      </c>
      <c r="G100" s="38" t="inlineStr">
        <is>
          <t>OFV_RS422_MESSAGE_FAIL</t>
        </is>
      </c>
      <c r="H100" s="39">
        <f>IF(MID(source!$AI$15,1,1)="1",1,"0")</f>
        <v/>
      </c>
      <c r="I100" s="26" t="inlineStr">
        <is>
          <t>defective Ebox</t>
        </is>
      </c>
      <c r="J100" s="34" t="n"/>
    </row>
    <row r="101">
      <c r="F101" s="42" t="n">
        <v>92</v>
      </c>
      <c r="G101" s="38" t="inlineStr">
        <is>
          <t>OFV_AC_PIN_PROG_FAIL</t>
        </is>
      </c>
      <c r="H101" s="39">
        <f>IF(MID(source!$AH$15,1,1)="1",1,"0")</f>
        <v/>
      </c>
      <c r="I101" s="26" t="n"/>
      <c r="J101" s="34" t="n"/>
    </row>
    <row r="102">
      <c r="F102" s="42" t="n">
        <v>93</v>
      </c>
      <c r="G102" s="38" t="inlineStr">
        <is>
          <t>OFV_PRESS_SENSOR_FAIL</t>
        </is>
      </c>
      <c r="H102" s="39">
        <f>IF(MID(source!$AG$15,1,1)="1",1,"0")</f>
        <v/>
      </c>
      <c r="I102" s="26" t="n"/>
      <c r="J102" s="34" t="n"/>
    </row>
    <row r="103">
      <c r="F103" s="42" t="n">
        <v>94</v>
      </c>
      <c r="G103" s="38" t="inlineStr">
        <is>
          <t>UNUSED</t>
        </is>
      </c>
      <c r="H103" s="39">
        <f>IF(MID(source!$AF$15,1,1)="1",1,"0")</f>
        <v/>
      </c>
      <c r="I103" s="26" t="n"/>
      <c r="J103" s="34" t="n"/>
    </row>
    <row r="104">
      <c r="F104" s="42" t="n">
        <v>95</v>
      </c>
      <c r="G104" s="38" t="inlineStr">
        <is>
          <t>UNUSED</t>
        </is>
      </c>
      <c r="H104" s="39">
        <f>IF(MID(source!$AE$15,1,1)="1",1,"0")</f>
        <v/>
      </c>
      <c r="I104" s="26" t="n"/>
      <c r="J104" s="34" t="n"/>
    </row>
    <row r="105">
      <c r="F105" s="42" t="n">
        <v>96</v>
      </c>
      <c r="G105" s="38" t="inlineStr">
        <is>
          <t>EXC_CAB_ALT_WARNING</t>
        </is>
      </c>
      <c r="H105" s="39">
        <f>IF(MID(source!$AD$15,1,1)="1",1,"0")</f>
        <v/>
      </c>
      <c r="I105" s="26" t="n"/>
      <c r="J105" s="34" t="n"/>
    </row>
  </sheetData>
  <autoFilter ref="H8:H105"/>
  <conditionalFormatting sqref="H9:H24">
    <cfRule type="colorScale" priority="3">
      <colorScale>
        <cfvo type="min"/>
        <cfvo type="num" val="1"/>
        <color theme="0"/>
        <color theme="5" tint="0.3999450666829432"/>
      </colorScale>
    </cfRule>
  </conditionalFormatting>
  <conditionalFormatting sqref="H25:H40">
    <cfRule type="colorScale" priority="4">
      <colorScale>
        <cfvo type="min"/>
        <cfvo type="num" val="1"/>
        <color theme="0"/>
        <color theme="5" tint="0.3999450666829432"/>
      </colorScale>
    </cfRule>
  </conditionalFormatting>
  <conditionalFormatting sqref="H41:H56">
    <cfRule type="colorScale" priority="5">
      <colorScale>
        <cfvo type="min"/>
        <cfvo type="num" val="1"/>
        <color theme="0"/>
        <color theme="5" tint="0.3999450666829432"/>
      </colorScale>
    </cfRule>
  </conditionalFormatting>
  <conditionalFormatting sqref="H57:H72">
    <cfRule type="colorScale" priority="6">
      <colorScale>
        <cfvo type="min"/>
        <cfvo type="num" val="1"/>
        <color theme="0"/>
        <color theme="5" tint="0.3999450666829432"/>
      </colorScale>
    </cfRule>
  </conditionalFormatting>
  <conditionalFormatting sqref="H73:H88">
    <cfRule type="colorScale" priority="7">
      <colorScale>
        <cfvo type="min"/>
        <cfvo type="num" val="1"/>
        <color theme="0"/>
        <color theme="5" tint="0.3999450666829432"/>
      </colorScale>
    </cfRule>
  </conditionalFormatting>
  <conditionalFormatting sqref="H89:H104">
    <cfRule type="colorScale" priority="1">
      <colorScale>
        <cfvo type="min"/>
        <cfvo type="num" val="1"/>
        <color theme="0"/>
        <color theme="5" tint="0.3999450666829432"/>
      </colorScale>
    </cfRule>
  </conditionalFormatting>
  <conditionalFormatting sqref="H105">
    <cfRule type="colorScale" priority="2">
      <colorScale>
        <cfvo type="min"/>
        <cfvo type="num" val="1"/>
        <color theme="0"/>
        <color theme="5" tint="0.3999450666829432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D14" sqref="D14"/>
    </sheetView>
  </sheetViews>
  <sheetFormatPr baseColWidth="8" defaultRowHeight="15"/>
  <cols>
    <col width="13.140625" customWidth="1" min="3" max="3"/>
  </cols>
  <sheetData>
    <row r="1" ht="15.75" customHeight="1" thickBot="1">
      <c r="A1" s="67" t="n">
        <v>32</v>
      </c>
      <c r="B1" s="68" t="n">
        <v>40</v>
      </c>
      <c r="C1" s="68" t="inlineStr">
        <is>
          <t>20</t>
        </is>
      </c>
      <c r="D1" s="68" t="n">
        <v>100000</v>
      </c>
      <c r="E1" s="69" t="inlineStr">
        <is>
          <t>Пробел</t>
        </is>
      </c>
      <c r="F1" s="68" t="inlineStr">
        <is>
          <t>&amp;#32;</t>
        </is>
      </c>
      <c r="G1" s="70" t="n"/>
      <c r="I1">
        <f>RIGHT(C1,2)</f>
        <v/>
      </c>
    </row>
    <row r="2" ht="15.75" customHeight="1" thickBot="1">
      <c r="A2" s="64" t="n">
        <v>33</v>
      </c>
      <c r="B2" s="65" t="n">
        <v>41</v>
      </c>
      <c r="C2" s="65" t="inlineStr">
        <is>
          <t>21</t>
        </is>
      </c>
      <c r="D2" s="65" t="n">
        <v>100001</v>
      </c>
      <c r="E2" s="65" t="inlineStr">
        <is>
          <t>!</t>
        </is>
      </c>
      <c r="F2" s="65" t="inlineStr">
        <is>
          <t>&amp;#33;</t>
        </is>
      </c>
      <c r="G2" s="66" t="n"/>
      <c r="I2">
        <f>RIGHT(C2,2)</f>
        <v/>
      </c>
    </row>
    <row r="3" ht="15.75" customHeight="1" thickBot="1">
      <c r="A3" s="64" t="n">
        <v>34</v>
      </c>
      <c r="B3" s="65" t="n">
        <v>42</v>
      </c>
      <c r="C3" s="65" t="inlineStr">
        <is>
          <t>22</t>
        </is>
      </c>
      <c r="D3" s="65" t="n">
        <v>100010</v>
      </c>
      <c r="E3" s="65" t="inlineStr">
        <is>
          <t>"</t>
        </is>
      </c>
      <c r="F3" s="65" t="inlineStr">
        <is>
          <t>&amp;#34;</t>
        </is>
      </c>
      <c r="G3" s="66" t="inlineStr">
        <is>
          <t>&amp;quot;</t>
        </is>
      </c>
      <c r="I3">
        <f>RIGHT(C3,2)</f>
        <v/>
      </c>
    </row>
    <row r="4" ht="15.75" customHeight="1" thickBot="1">
      <c r="A4" s="64" t="n">
        <v>35</v>
      </c>
      <c r="B4" s="65" t="n">
        <v>43</v>
      </c>
      <c r="C4" s="65" t="inlineStr">
        <is>
          <t>23</t>
        </is>
      </c>
      <c r="D4" s="65" t="n">
        <v>100011</v>
      </c>
      <c r="E4" s="65" t="inlineStr">
        <is>
          <t>#</t>
        </is>
      </c>
      <c r="F4" s="65" t="inlineStr">
        <is>
          <t>&amp;#35;</t>
        </is>
      </c>
      <c r="G4" s="66" t="n"/>
      <c r="I4">
        <f>RIGHT(C4,2)</f>
        <v/>
      </c>
    </row>
    <row r="5" ht="15.75" customHeight="1" thickBot="1">
      <c r="A5" s="64" t="n">
        <v>36</v>
      </c>
      <c r="B5" s="65" t="n">
        <v>44</v>
      </c>
      <c r="C5" s="65" t="inlineStr">
        <is>
          <t>24</t>
        </is>
      </c>
      <c r="D5" s="65" t="n">
        <v>100100</v>
      </c>
      <c r="E5" s="65" t="inlineStr">
        <is>
          <t>$</t>
        </is>
      </c>
      <c r="F5" s="65" t="inlineStr">
        <is>
          <t>&amp;#36;</t>
        </is>
      </c>
      <c r="G5" s="66" t="n"/>
      <c r="I5">
        <f>RIGHT(C5,2)</f>
        <v/>
      </c>
    </row>
    <row r="6" ht="15.75" customHeight="1" thickBot="1">
      <c r="A6" s="64" t="n">
        <v>37</v>
      </c>
      <c r="B6" s="65" t="n">
        <v>45</v>
      </c>
      <c r="C6" s="65" t="inlineStr">
        <is>
          <t>25</t>
        </is>
      </c>
      <c r="D6" s="65" t="n">
        <v>100101</v>
      </c>
      <c r="E6" s="65" t="inlineStr">
        <is>
          <t>%</t>
        </is>
      </c>
      <c r="F6" s="65" t="inlineStr">
        <is>
          <t>&amp;#37;</t>
        </is>
      </c>
      <c r="G6" s="66" t="n"/>
      <c r="I6">
        <f>RIGHT(C6,2)</f>
        <v/>
      </c>
    </row>
    <row r="7" ht="15.75" customHeight="1" thickBot="1">
      <c r="A7" s="64" t="n">
        <v>38</v>
      </c>
      <c r="B7" s="65" t="n">
        <v>46</v>
      </c>
      <c r="C7" s="65" t="inlineStr">
        <is>
          <t>26</t>
        </is>
      </c>
      <c r="D7" s="65" t="n">
        <v>100110</v>
      </c>
      <c r="E7" s="65" t="inlineStr">
        <is>
          <t>&amp;</t>
        </is>
      </c>
      <c r="F7" s="65" t="inlineStr">
        <is>
          <t>&amp;#38;</t>
        </is>
      </c>
      <c r="G7" s="66" t="inlineStr">
        <is>
          <t>&amp;amp;</t>
        </is>
      </c>
      <c r="I7">
        <f>RIGHT(C7,2)</f>
        <v/>
      </c>
    </row>
    <row r="8" ht="15.75" customHeight="1" thickBot="1">
      <c r="A8" s="64" t="n">
        <v>39</v>
      </c>
      <c r="B8" s="65" t="n">
        <v>47</v>
      </c>
      <c r="C8" s="65" t="inlineStr">
        <is>
          <t>27</t>
        </is>
      </c>
      <c r="D8" s="65" t="n">
        <v>100111</v>
      </c>
      <c r="E8" s="65" t="inlineStr">
        <is>
          <t>'</t>
        </is>
      </c>
      <c r="F8" s="65" t="inlineStr">
        <is>
          <t>&amp;#39;</t>
        </is>
      </c>
      <c r="G8" s="66" t="inlineStr">
        <is>
          <t>&amp;apos;</t>
        </is>
      </c>
      <c r="I8">
        <f>RIGHT(C8,2)</f>
        <v/>
      </c>
    </row>
    <row r="9" ht="15.75" customHeight="1" thickBot="1">
      <c r="A9" s="64" t="n">
        <v>40</v>
      </c>
      <c r="B9" s="65" t="n">
        <v>50</v>
      </c>
      <c r="C9" s="65" t="inlineStr">
        <is>
          <t>28</t>
        </is>
      </c>
      <c r="D9" s="65" t="n">
        <v>101000</v>
      </c>
      <c r="E9" s="65" t="inlineStr">
        <is>
          <t>(</t>
        </is>
      </c>
      <c r="F9" s="65" t="inlineStr">
        <is>
          <t>&amp;#40;</t>
        </is>
      </c>
      <c r="G9" s="66" t="n"/>
      <c r="I9">
        <f>RIGHT(C9,2)</f>
        <v/>
      </c>
    </row>
    <row r="10" ht="15.75" customHeight="1" thickBot="1">
      <c r="A10" s="64" t="n">
        <v>41</v>
      </c>
      <c r="B10" s="65" t="n">
        <v>51</v>
      </c>
      <c r="C10" s="65" t="inlineStr">
        <is>
          <t>29</t>
        </is>
      </c>
      <c r="D10" s="65" t="n">
        <v>101001</v>
      </c>
      <c r="E10" s="65" t="inlineStr">
        <is>
          <t>)</t>
        </is>
      </c>
      <c r="F10" s="65" t="inlineStr">
        <is>
          <t>&amp;#41;</t>
        </is>
      </c>
      <c r="G10" s="66" t="n"/>
      <c r="I10">
        <f>RIGHT(C10,2)</f>
        <v/>
      </c>
    </row>
    <row r="11" ht="15.75" customHeight="1" thickBot="1">
      <c r="A11" s="64" t="n">
        <v>42</v>
      </c>
      <c r="B11" s="65" t="n">
        <v>52</v>
      </c>
      <c r="C11" s="65" t="inlineStr">
        <is>
          <t>2A</t>
        </is>
      </c>
      <c r="D11" s="65" t="n">
        <v>101010</v>
      </c>
      <c r="E11" s="65" t="inlineStr">
        <is>
          <t>*</t>
        </is>
      </c>
      <c r="F11" s="65" t="inlineStr">
        <is>
          <t>&amp;#42;</t>
        </is>
      </c>
      <c r="G11" s="66" t="n"/>
      <c r="I11">
        <f>RIGHT(C11,2)</f>
        <v/>
      </c>
    </row>
    <row r="12" ht="15.75" customHeight="1" thickBot="1">
      <c r="A12" s="64" t="n">
        <v>43</v>
      </c>
      <c r="B12" s="65" t="n">
        <v>53</v>
      </c>
      <c r="C12" s="65" t="inlineStr">
        <is>
          <t>2B</t>
        </is>
      </c>
      <c r="D12" s="65" t="n">
        <v>101011</v>
      </c>
      <c r="E12" s="65" t="inlineStr">
        <is>
          <t>+</t>
        </is>
      </c>
      <c r="F12" s="65" t="inlineStr">
        <is>
          <t>&amp;#43;</t>
        </is>
      </c>
      <c r="G12" s="66" t="n"/>
      <c r="I12">
        <f>RIGHT(C12,2)</f>
        <v/>
      </c>
    </row>
    <row r="13" ht="15.75" customHeight="1" thickBot="1">
      <c r="A13" s="64" t="n">
        <v>44</v>
      </c>
      <c r="B13" s="65" t="n">
        <v>54</v>
      </c>
      <c r="C13" s="65" t="inlineStr">
        <is>
          <t>2C</t>
        </is>
      </c>
      <c r="D13" s="65" t="n">
        <v>101100</v>
      </c>
      <c r="E13" s="65" t="inlineStr">
        <is>
          <t>,</t>
        </is>
      </c>
      <c r="F13" s="65" t="inlineStr">
        <is>
          <t>&amp;#44;</t>
        </is>
      </c>
      <c r="G13" s="66" t="n"/>
      <c r="I13">
        <f>RIGHT(C13,2)</f>
        <v/>
      </c>
    </row>
    <row r="14" ht="15.75" customHeight="1" thickBot="1">
      <c r="A14" s="64" t="n">
        <v>45</v>
      </c>
      <c r="B14" s="65" t="n">
        <v>55</v>
      </c>
      <c r="C14" s="65" t="inlineStr">
        <is>
          <t>2D</t>
        </is>
      </c>
      <c r="D14" s="65" t="n">
        <v>101101</v>
      </c>
      <c r="E14" s="65" t="inlineStr">
        <is>
          <t>-</t>
        </is>
      </c>
      <c r="F14" s="65" t="inlineStr">
        <is>
          <t>&amp;#45;</t>
        </is>
      </c>
      <c r="G14" s="66" t="n"/>
      <c r="I14">
        <f>RIGHT(C14,2)</f>
        <v/>
      </c>
    </row>
    <row r="15" ht="15.75" customHeight="1" thickBot="1">
      <c r="A15" s="64" t="n">
        <v>46</v>
      </c>
      <c r="B15" s="65" t="n">
        <v>56</v>
      </c>
      <c r="C15" s="65" t="inlineStr">
        <is>
          <t>2E</t>
        </is>
      </c>
      <c r="D15" s="65" t="n">
        <v>101110</v>
      </c>
      <c r="E15" s="65" t="inlineStr">
        <is>
          <t>.</t>
        </is>
      </c>
      <c r="F15" s="65" t="inlineStr">
        <is>
          <t>&amp;#46;</t>
        </is>
      </c>
      <c r="G15" s="66" t="n"/>
      <c r="I15">
        <f>RIGHT(C15,2)</f>
        <v/>
      </c>
    </row>
    <row r="16" ht="15.75" customHeight="1" thickBot="1">
      <c r="A16" s="64" t="n">
        <v>47</v>
      </c>
      <c r="B16" s="65" t="n">
        <v>57</v>
      </c>
      <c r="C16" s="65" t="inlineStr">
        <is>
          <t>2F</t>
        </is>
      </c>
      <c r="D16" s="65" t="n">
        <v>101111</v>
      </c>
      <c r="E16" s="65" t="inlineStr">
        <is>
          <t>/</t>
        </is>
      </c>
      <c r="F16" s="65" t="inlineStr">
        <is>
          <t>&amp;#47;</t>
        </is>
      </c>
      <c r="G16" s="66" t="n"/>
      <c r="I16">
        <f>RIGHT(C16,2)</f>
        <v/>
      </c>
    </row>
    <row r="17" ht="15.75" customHeight="1" thickBot="1">
      <c r="A17" s="64" t="n">
        <v>48</v>
      </c>
      <c r="B17" s="65" t="n">
        <v>60</v>
      </c>
      <c r="C17" s="65" t="inlineStr">
        <is>
          <t>30</t>
        </is>
      </c>
      <c r="D17" s="65" t="n">
        <v>110000</v>
      </c>
      <c r="E17" s="65" t="n">
        <v>0</v>
      </c>
      <c r="F17" s="65" t="inlineStr">
        <is>
          <t>&amp;#48;</t>
        </is>
      </c>
      <c r="G17" s="66" t="n"/>
      <c r="I17">
        <f>RIGHT(C17,2)</f>
        <v/>
      </c>
    </row>
    <row r="18" ht="15.75" customHeight="1" thickBot="1">
      <c r="A18" s="64" t="n">
        <v>49</v>
      </c>
      <c r="B18" s="65" t="n">
        <v>61</v>
      </c>
      <c r="C18" s="65" t="inlineStr">
        <is>
          <t>31</t>
        </is>
      </c>
      <c r="D18" s="65" t="n">
        <v>110001</v>
      </c>
      <c r="E18" s="65" t="n">
        <v>1</v>
      </c>
      <c r="F18" s="65" t="inlineStr">
        <is>
          <t>&amp;#49;</t>
        </is>
      </c>
      <c r="G18" s="66" t="n"/>
      <c r="I18">
        <f>RIGHT(C18,2)</f>
        <v/>
      </c>
    </row>
    <row r="19" ht="15.75" customHeight="1" thickBot="1">
      <c r="A19" s="64" t="n">
        <v>50</v>
      </c>
      <c r="B19" s="65" t="n">
        <v>62</v>
      </c>
      <c r="C19" s="65" t="inlineStr">
        <is>
          <t>32</t>
        </is>
      </c>
      <c r="D19" s="65" t="n">
        <v>110010</v>
      </c>
      <c r="E19" s="65" t="n">
        <v>2</v>
      </c>
      <c r="F19" s="65" t="inlineStr">
        <is>
          <t>&amp;#50;</t>
        </is>
      </c>
      <c r="G19" s="66" t="n"/>
      <c r="I19">
        <f>RIGHT(C19,2)</f>
        <v/>
      </c>
    </row>
    <row r="20" ht="15.75" customHeight="1" thickBot="1">
      <c r="A20" s="64" t="n">
        <v>51</v>
      </c>
      <c r="B20" s="65" t="n">
        <v>63</v>
      </c>
      <c r="C20" s="65" t="inlineStr">
        <is>
          <t>33</t>
        </is>
      </c>
      <c r="D20" s="65" t="n">
        <v>110011</v>
      </c>
      <c r="E20" s="65" t="n">
        <v>3</v>
      </c>
      <c r="F20" s="65" t="inlineStr">
        <is>
          <t>&amp;#51;</t>
        </is>
      </c>
      <c r="G20" s="66" t="n"/>
      <c r="I20">
        <f>RIGHT(C20,2)</f>
        <v/>
      </c>
    </row>
    <row r="21" ht="15.75" customHeight="1" thickBot="1">
      <c r="A21" s="64" t="n">
        <v>52</v>
      </c>
      <c r="B21" s="65" t="n">
        <v>64</v>
      </c>
      <c r="C21" s="65" t="inlineStr">
        <is>
          <t>34</t>
        </is>
      </c>
      <c r="D21" s="65" t="n">
        <v>110100</v>
      </c>
      <c r="E21" s="65" t="n">
        <v>4</v>
      </c>
      <c r="F21" s="65" t="inlineStr">
        <is>
          <t>&amp;#52;</t>
        </is>
      </c>
      <c r="G21" s="66" t="n"/>
      <c r="I21">
        <f>RIGHT(C21,2)</f>
        <v/>
      </c>
    </row>
    <row r="22" ht="15.75" customHeight="1" thickBot="1">
      <c r="A22" s="64" t="n">
        <v>53</v>
      </c>
      <c r="B22" s="65" t="n">
        <v>65</v>
      </c>
      <c r="C22" s="65" t="inlineStr">
        <is>
          <t>35</t>
        </is>
      </c>
      <c r="D22" s="65" t="n">
        <v>110101</v>
      </c>
      <c r="E22" s="65" t="n">
        <v>5</v>
      </c>
      <c r="F22" s="65" t="inlineStr">
        <is>
          <t>&amp;#53;</t>
        </is>
      </c>
      <c r="G22" s="66" t="n"/>
      <c r="I22">
        <f>RIGHT(C22,2)</f>
        <v/>
      </c>
    </row>
    <row r="23" ht="15.75" customHeight="1" thickBot="1">
      <c r="A23" s="64" t="n">
        <v>54</v>
      </c>
      <c r="B23" s="65" t="n">
        <v>66</v>
      </c>
      <c r="C23" s="65" t="inlineStr">
        <is>
          <t>36</t>
        </is>
      </c>
      <c r="D23" s="65" t="n">
        <v>110110</v>
      </c>
      <c r="E23" s="65" t="n">
        <v>6</v>
      </c>
      <c r="F23" s="65" t="inlineStr">
        <is>
          <t>&amp;#54;</t>
        </is>
      </c>
      <c r="G23" s="66" t="n"/>
      <c r="I23">
        <f>RIGHT(C23,2)</f>
        <v/>
      </c>
    </row>
    <row r="24" ht="15.75" customHeight="1" thickBot="1">
      <c r="A24" s="64" t="n">
        <v>55</v>
      </c>
      <c r="B24" s="65" t="n">
        <v>67</v>
      </c>
      <c r="C24" s="65" t="inlineStr">
        <is>
          <t>37</t>
        </is>
      </c>
      <c r="D24" s="65" t="n">
        <v>110111</v>
      </c>
      <c r="E24" s="65" t="n">
        <v>7</v>
      </c>
      <c r="F24" s="65" t="inlineStr">
        <is>
          <t>&amp;#55;</t>
        </is>
      </c>
      <c r="G24" s="66" t="n"/>
      <c r="I24">
        <f>RIGHT(C24,2)</f>
        <v/>
      </c>
    </row>
    <row r="25" ht="15.75" customHeight="1" thickBot="1">
      <c r="A25" s="64" t="n">
        <v>56</v>
      </c>
      <c r="B25" s="65" t="n">
        <v>70</v>
      </c>
      <c r="C25" s="65" t="inlineStr">
        <is>
          <t>38</t>
        </is>
      </c>
      <c r="D25" s="65" t="n">
        <v>111000</v>
      </c>
      <c r="E25" s="65" t="n">
        <v>8</v>
      </c>
      <c r="F25" s="65" t="inlineStr">
        <is>
          <t>&amp;#56;</t>
        </is>
      </c>
      <c r="G25" s="66" t="n"/>
      <c r="I25">
        <f>RIGHT(C25,2)</f>
        <v/>
      </c>
    </row>
    <row r="26" ht="15.75" customHeight="1" thickBot="1">
      <c r="A26" s="64" t="n">
        <v>57</v>
      </c>
      <c r="B26" s="65" t="n">
        <v>71</v>
      </c>
      <c r="C26" s="65" t="inlineStr">
        <is>
          <t>39</t>
        </is>
      </c>
      <c r="D26" s="65" t="n">
        <v>111001</v>
      </c>
      <c r="E26" s="65" t="n">
        <v>9</v>
      </c>
      <c r="F26" s="65" t="inlineStr">
        <is>
          <t>&amp;#57;</t>
        </is>
      </c>
      <c r="G26" s="66" t="n"/>
      <c r="I26">
        <f>RIGHT(C26,2)</f>
        <v/>
      </c>
    </row>
    <row r="27" ht="15.75" customHeight="1" thickBot="1">
      <c r="A27" s="64" t="n">
        <v>58</v>
      </c>
      <c r="B27" s="65" t="n">
        <v>72</v>
      </c>
      <c r="C27" s="65" t="inlineStr">
        <is>
          <t>3A</t>
        </is>
      </c>
      <c r="D27" s="65" t="n">
        <v>111010</v>
      </c>
      <c r="E27" s="65" t="inlineStr">
        <is>
          <t>:</t>
        </is>
      </c>
      <c r="F27" s="65" t="inlineStr">
        <is>
          <t>&amp;#58;</t>
        </is>
      </c>
      <c r="G27" s="66" t="n"/>
      <c r="I27">
        <f>RIGHT(C27,2)</f>
        <v/>
      </c>
    </row>
    <row r="28" ht="15.75" customHeight="1" thickBot="1">
      <c r="A28" s="64" t="n">
        <v>59</v>
      </c>
      <c r="B28" s="65" t="n">
        <v>73</v>
      </c>
      <c r="C28" s="65" t="inlineStr">
        <is>
          <t>3B</t>
        </is>
      </c>
      <c r="D28" s="65" t="n">
        <v>111011</v>
      </c>
      <c r="E28" s="65" t="inlineStr">
        <is>
          <t>;</t>
        </is>
      </c>
      <c r="F28" s="65" t="inlineStr">
        <is>
          <t>&amp;#59;</t>
        </is>
      </c>
      <c r="G28" s="66" t="n"/>
      <c r="I28">
        <f>RIGHT(C28,2)</f>
        <v/>
      </c>
    </row>
    <row r="29" ht="15.75" customHeight="1" thickBot="1">
      <c r="A29" s="64" t="n">
        <v>60</v>
      </c>
      <c r="B29" s="65" t="n">
        <v>74</v>
      </c>
      <c r="C29" s="65" t="inlineStr">
        <is>
          <t>3C</t>
        </is>
      </c>
      <c r="D29" s="65" t="n">
        <v>111100</v>
      </c>
      <c r="E29" s="65" t="inlineStr">
        <is>
          <t>&lt;</t>
        </is>
      </c>
      <c r="F29" s="65" t="inlineStr">
        <is>
          <t>&amp;#60;</t>
        </is>
      </c>
      <c r="G29" s="66" t="inlineStr">
        <is>
          <t>&amp;lt;</t>
        </is>
      </c>
      <c r="I29">
        <f>RIGHT(C29,2)</f>
        <v/>
      </c>
    </row>
    <row r="30" ht="15.75" customHeight="1" thickBot="1">
      <c r="A30" s="64" t="n">
        <v>61</v>
      </c>
      <c r="B30" s="65" t="n">
        <v>75</v>
      </c>
      <c r="C30" s="65" t="inlineStr">
        <is>
          <t>3D</t>
        </is>
      </c>
      <c r="D30" s="65" t="n">
        <v>111101</v>
      </c>
      <c r="E30" s="65" t="inlineStr">
        <is>
          <t>=</t>
        </is>
      </c>
      <c r="F30" s="65" t="inlineStr">
        <is>
          <t>&amp;#61;</t>
        </is>
      </c>
      <c r="G30" s="66" t="n"/>
      <c r="I30">
        <f>RIGHT(C30,2)</f>
        <v/>
      </c>
    </row>
    <row r="31" ht="15.75" customHeight="1" thickBot="1">
      <c r="A31" s="64" t="n">
        <v>62</v>
      </c>
      <c r="B31" s="65" t="n">
        <v>76</v>
      </c>
      <c r="C31" s="65" t="inlineStr">
        <is>
          <t>3E</t>
        </is>
      </c>
      <c r="D31" s="65" t="n">
        <v>111110</v>
      </c>
      <c r="E31" s="65" t="inlineStr">
        <is>
          <t>&gt;</t>
        </is>
      </c>
      <c r="F31" s="65" t="inlineStr">
        <is>
          <t>&amp;#62;</t>
        </is>
      </c>
      <c r="G31" s="66" t="inlineStr">
        <is>
          <t>&amp;gt;</t>
        </is>
      </c>
      <c r="I31">
        <f>RIGHT(C31,2)</f>
        <v/>
      </c>
    </row>
    <row r="32" ht="15.75" customHeight="1" thickBot="1">
      <c r="A32" s="64" t="n">
        <v>63</v>
      </c>
      <c r="B32" s="65" t="n">
        <v>77</v>
      </c>
      <c r="C32" s="65" t="inlineStr">
        <is>
          <t>3F</t>
        </is>
      </c>
      <c r="D32" s="65" t="n">
        <v>111111</v>
      </c>
      <c r="E32" s="65" t="inlineStr">
        <is>
          <t>?</t>
        </is>
      </c>
      <c r="F32" s="65" t="inlineStr">
        <is>
          <t>&amp;#63;</t>
        </is>
      </c>
      <c r="G32" s="66" t="n"/>
      <c r="I32">
        <f>RIGHT(C32,2)</f>
        <v/>
      </c>
    </row>
    <row r="33" ht="15.75" customHeight="1" thickBot="1">
      <c r="A33" s="64" t="n">
        <v>64</v>
      </c>
      <c r="B33" s="65" t="n">
        <v>100</v>
      </c>
      <c r="C33" s="65" t="inlineStr">
        <is>
          <t>40</t>
        </is>
      </c>
      <c r="D33" s="65" t="n">
        <v>1000000</v>
      </c>
      <c r="E33" s="65" t="inlineStr">
        <is>
          <t>@</t>
        </is>
      </c>
      <c r="F33" s="65" t="inlineStr">
        <is>
          <t>&amp;#64;</t>
        </is>
      </c>
      <c r="G33" s="66" t="n"/>
      <c r="I33">
        <f>RIGHT(C33,2)</f>
        <v/>
      </c>
    </row>
    <row r="34" ht="15.75" customHeight="1" thickBot="1">
      <c r="A34" s="64" t="n">
        <v>65</v>
      </c>
      <c r="B34" s="65" t="n">
        <v>101</v>
      </c>
      <c r="C34" s="65" t="inlineStr">
        <is>
          <t>41</t>
        </is>
      </c>
      <c r="D34" s="65" t="n">
        <v>1000001</v>
      </c>
      <c r="E34" s="65" t="inlineStr">
        <is>
          <t>A</t>
        </is>
      </c>
      <c r="F34" s="65" t="inlineStr">
        <is>
          <t>&amp;#65;</t>
        </is>
      </c>
      <c r="G34" s="66" t="n"/>
      <c r="I34">
        <f>RIGHT(C34,2)</f>
        <v/>
      </c>
    </row>
    <row r="35" ht="15.75" customHeight="1" thickBot="1">
      <c r="A35" s="64" t="n">
        <v>66</v>
      </c>
      <c r="B35" s="65" t="n">
        <v>102</v>
      </c>
      <c r="C35" s="65" t="inlineStr">
        <is>
          <t>42</t>
        </is>
      </c>
      <c r="D35" s="65" t="n">
        <v>1000010</v>
      </c>
      <c r="E35" s="65" t="inlineStr">
        <is>
          <t>B</t>
        </is>
      </c>
      <c r="F35" s="65" t="inlineStr">
        <is>
          <t>&amp;#66;</t>
        </is>
      </c>
      <c r="G35" s="66" t="n"/>
      <c r="I35">
        <f>RIGHT(C35,2)</f>
        <v/>
      </c>
    </row>
    <row r="36" ht="15.75" customHeight="1" thickBot="1">
      <c r="A36" s="64" t="n">
        <v>67</v>
      </c>
      <c r="B36" s="65" t="n">
        <v>103</v>
      </c>
      <c r="C36" s="65" t="inlineStr">
        <is>
          <t>43</t>
        </is>
      </c>
      <c r="D36" s="65" t="n">
        <v>1000011</v>
      </c>
      <c r="E36" s="65" t="inlineStr">
        <is>
          <t>C</t>
        </is>
      </c>
      <c r="F36" s="65" t="inlineStr">
        <is>
          <t>&amp;#67;</t>
        </is>
      </c>
      <c r="G36" s="66" t="n"/>
      <c r="I36">
        <f>RIGHT(C36,2)</f>
        <v/>
      </c>
    </row>
    <row r="37" ht="15.75" customHeight="1" thickBot="1">
      <c r="A37" s="64" t="n">
        <v>68</v>
      </c>
      <c r="B37" s="65" t="n">
        <v>104</v>
      </c>
      <c r="C37" s="65" t="inlineStr">
        <is>
          <t>44</t>
        </is>
      </c>
      <c r="D37" s="65" t="n">
        <v>1000100</v>
      </c>
      <c r="E37" s="65" t="inlineStr">
        <is>
          <t>D</t>
        </is>
      </c>
      <c r="F37" s="65" t="inlineStr">
        <is>
          <t>&amp;#68;</t>
        </is>
      </c>
      <c r="G37" s="66" t="n"/>
      <c r="I37">
        <f>RIGHT(C37,2)</f>
        <v/>
      </c>
    </row>
    <row r="38" ht="15.75" customHeight="1" thickBot="1">
      <c r="A38" s="64" t="n">
        <v>69</v>
      </c>
      <c r="B38" s="65" t="n">
        <v>105</v>
      </c>
      <c r="C38" s="65" t="inlineStr">
        <is>
          <t>45</t>
        </is>
      </c>
      <c r="D38" s="65" t="n">
        <v>1000101</v>
      </c>
      <c r="E38" s="65" t="inlineStr">
        <is>
          <t>E</t>
        </is>
      </c>
      <c r="F38" s="65" t="inlineStr">
        <is>
          <t>&amp;#69;</t>
        </is>
      </c>
      <c r="G38" s="66" t="n"/>
      <c r="I38">
        <f>RIGHT(C38,2)</f>
        <v/>
      </c>
    </row>
    <row r="39" ht="15.75" customHeight="1" thickBot="1">
      <c r="A39" s="64" t="n">
        <v>70</v>
      </c>
      <c r="B39" s="65" t="n">
        <v>106</v>
      </c>
      <c r="C39" s="65" t="inlineStr">
        <is>
          <t>46</t>
        </is>
      </c>
      <c r="D39" s="65" t="n">
        <v>1000110</v>
      </c>
      <c r="E39" s="65" t="inlineStr">
        <is>
          <t>F</t>
        </is>
      </c>
      <c r="F39" s="65" t="inlineStr">
        <is>
          <t>&amp;#70;</t>
        </is>
      </c>
      <c r="G39" s="66" t="n"/>
      <c r="I39">
        <f>RIGHT(C39,2)</f>
        <v/>
      </c>
    </row>
    <row r="40" ht="15.75" customHeight="1" thickBot="1">
      <c r="A40" s="64" t="n">
        <v>71</v>
      </c>
      <c r="B40" s="65" t="n">
        <v>107</v>
      </c>
      <c r="C40" s="65" t="inlineStr">
        <is>
          <t>47</t>
        </is>
      </c>
      <c r="D40" s="65" t="n">
        <v>1000111</v>
      </c>
      <c r="E40" s="65" t="inlineStr">
        <is>
          <t>G</t>
        </is>
      </c>
      <c r="F40" s="65" t="inlineStr">
        <is>
          <t>&amp;#71;</t>
        </is>
      </c>
      <c r="G40" s="66" t="n"/>
      <c r="I40">
        <f>RIGHT(C40,2)</f>
        <v/>
      </c>
    </row>
    <row r="41" ht="15.75" customHeight="1" thickBot="1">
      <c r="A41" s="64" t="n">
        <v>72</v>
      </c>
      <c r="B41" s="65" t="n">
        <v>110</v>
      </c>
      <c r="C41" s="65" t="inlineStr">
        <is>
          <t>48</t>
        </is>
      </c>
      <c r="D41" s="65" t="n">
        <v>1001000</v>
      </c>
      <c r="E41" s="65" t="inlineStr">
        <is>
          <t>H</t>
        </is>
      </c>
      <c r="F41" s="65" t="inlineStr">
        <is>
          <t>&amp;#72;</t>
        </is>
      </c>
      <c r="G41" s="66" t="n"/>
      <c r="I41">
        <f>RIGHT(C41,2)</f>
        <v/>
      </c>
    </row>
    <row r="42" ht="15.75" customHeight="1" thickBot="1">
      <c r="A42" s="64" t="n">
        <v>73</v>
      </c>
      <c r="B42" s="65" t="n">
        <v>111</v>
      </c>
      <c r="C42" s="65" t="inlineStr">
        <is>
          <t>49</t>
        </is>
      </c>
      <c r="D42" s="65" t="n">
        <v>1001001</v>
      </c>
      <c r="E42" s="65" t="inlineStr">
        <is>
          <t>I</t>
        </is>
      </c>
      <c r="F42" s="65" t="inlineStr">
        <is>
          <t>&amp;#73;</t>
        </is>
      </c>
      <c r="G42" s="66" t="n"/>
      <c r="I42">
        <f>RIGHT(C42,2)</f>
        <v/>
      </c>
    </row>
    <row r="43" ht="15.75" customHeight="1" thickBot="1">
      <c r="A43" s="64" t="n">
        <v>74</v>
      </c>
      <c r="B43" s="65" t="n">
        <v>112</v>
      </c>
      <c r="C43" s="65" t="inlineStr">
        <is>
          <t>4A</t>
        </is>
      </c>
      <c r="D43" s="65" t="n">
        <v>1001010</v>
      </c>
      <c r="E43" s="65" t="inlineStr">
        <is>
          <t>J</t>
        </is>
      </c>
      <c r="F43" s="65" t="inlineStr">
        <is>
          <t>&amp;#74;</t>
        </is>
      </c>
      <c r="G43" s="66" t="n"/>
      <c r="I43">
        <f>RIGHT(C43,2)</f>
        <v/>
      </c>
    </row>
    <row r="44" ht="15.75" customHeight="1" thickBot="1">
      <c r="A44" s="64" t="n">
        <v>75</v>
      </c>
      <c r="B44" s="65" t="n">
        <v>113</v>
      </c>
      <c r="C44" s="65" t="inlineStr">
        <is>
          <t>4B</t>
        </is>
      </c>
      <c r="D44" s="65" t="n">
        <v>1001011</v>
      </c>
      <c r="E44" s="65" t="inlineStr">
        <is>
          <t>K</t>
        </is>
      </c>
      <c r="F44" s="65" t="inlineStr">
        <is>
          <t>&amp;#75;</t>
        </is>
      </c>
      <c r="G44" s="66" t="n"/>
      <c r="I44">
        <f>RIGHT(C44,2)</f>
        <v/>
      </c>
    </row>
    <row r="45" ht="15.75" customHeight="1" thickBot="1">
      <c r="A45" s="64" t="n">
        <v>76</v>
      </c>
      <c r="B45" s="65" t="n">
        <v>114</v>
      </c>
      <c r="C45" s="65" t="inlineStr">
        <is>
          <t>4C</t>
        </is>
      </c>
      <c r="D45" s="65" t="n">
        <v>1001100</v>
      </c>
      <c r="E45" s="65" t="inlineStr">
        <is>
          <t>L</t>
        </is>
      </c>
      <c r="F45" s="65" t="inlineStr">
        <is>
          <t>&amp;#76;</t>
        </is>
      </c>
      <c r="G45" s="66" t="n"/>
      <c r="I45">
        <f>RIGHT(C45,2)</f>
        <v/>
      </c>
    </row>
    <row r="46" ht="15.75" customHeight="1" thickBot="1">
      <c r="A46" s="64" t="n">
        <v>77</v>
      </c>
      <c r="B46" s="65" t="n">
        <v>115</v>
      </c>
      <c r="C46" s="65" t="inlineStr">
        <is>
          <t>4D</t>
        </is>
      </c>
      <c r="D46" s="65" t="n">
        <v>1001101</v>
      </c>
      <c r="E46" s="65" t="inlineStr">
        <is>
          <t>M</t>
        </is>
      </c>
      <c r="F46" s="65" t="inlineStr">
        <is>
          <t>&amp;#77;</t>
        </is>
      </c>
      <c r="G46" s="66" t="n"/>
      <c r="I46">
        <f>RIGHT(C46,2)</f>
        <v/>
      </c>
    </row>
    <row r="47" ht="15.75" customHeight="1" thickBot="1">
      <c r="A47" s="64" t="n">
        <v>78</v>
      </c>
      <c r="B47" s="65" t="n">
        <v>116</v>
      </c>
      <c r="C47" s="65" t="inlineStr">
        <is>
          <t>4E</t>
        </is>
      </c>
      <c r="D47" s="65" t="n">
        <v>1001110</v>
      </c>
      <c r="E47" s="65" t="inlineStr">
        <is>
          <t>N</t>
        </is>
      </c>
      <c r="F47" s="65" t="inlineStr">
        <is>
          <t>&amp;#78;</t>
        </is>
      </c>
      <c r="G47" s="66" t="n"/>
      <c r="I47">
        <f>RIGHT(C47,2)</f>
        <v/>
      </c>
    </row>
    <row r="48" ht="15.75" customHeight="1" thickBot="1">
      <c r="A48" s="64" t="n">
        <v>79</v>
      </c>
      <c r="B48" s="65" t="n">
        <v>117</v>
      </c>
      <c r="C48" s="65" t="inlineStr">
        <is>
          <t>4F</t>
        </is>
      </c>
      <c r="D48" s="65" t="n">
        <v>1001111</v>
      </c>
      <c r="E48" s="65" t="inlineStr">
        <is>
          <t>O</t>
        </is>
      </c>
      <c r="F48" s="65" t="inlineStr">
        <is>
          <t>&amp;#79;</t>
        </is>
      </c>
      <c r="G48" s="66" t="n"/>
      <c r="I48">
        <f>RIGHT(C48,2)</f>
        <v/>
      </c>
    </row>
    <row r="49" ht="15.75" customHeight="1" thickBot="1">
      <c r="A49" s="64" t="n">
        <v>80</v>
      </c>
      <c r="B49" s="65" t="n">
        <v>120</v>
      </c>
      <c r="C49" s="65" t="inlineStr">
        <is>
          <t>50</t>
        </is>
      </c>
      <c r="D49" s="65" t="n">
        <v>1010000</v>
      </c>
      <c r="E49" s="65" t="inlineStr">
        <is>
          <t>P</t>
        </is>
      </c>
      <c r="F49" s="65" t="inlineStr">
        <is>
          <t>&amp;#80;</t>
        </is>
      </c>
      <c r="G49" s="66" t="n"/>
      <c r="I49">
        <f>RIGHT(C49,2)</f>
        <v/>
      </c>
    </row>
    <row r="50" ht="15.75" customHeight="1" thickBot="1">
      <c r="A50" s="64" t="n">
        <v>81</v>
      </c>
      <c r="B50" s="65" t="n">
        <v>121</v>
      </c>
      <c r="C50" s="65" t="inlineStr">
        <is>
          <t>51</t>
        </is>
      </c>
      <c r="D50" s="65" t="n">
        <v>1010001</v>
      </c>
      <c r="E50" s="65" t="inlineStr">
        <is>
          <t>Q</t>
        </is>
      </c>
      <c r="F50" s="65" t="inlineStr">
        <is>
          <t>&amp;#81;</t>
        </is>
      </c>
      <c r="G50" s="66" t="n"/>
      <c r="I50">
        <f>RIGHT(C50,2)</f>
        <v/>
      </c>
    </row>
    <row r="51" ht="15.75" customHeight="1" thickBot="1">
      <c r="A51" s="64" t="n">
        <v>82</v>
      </c>
      <c r="B51" s="65" t="n">
        <v>122</v>
      </c>
      <c r="C51" s="65" t="inlineStr">
        <is>
          <t>52</t>
        </is>
      </c>
      <c r="D51" s="65" t="n">
        <v>1010010</v>
      </c>
      <c r="E51" s="65" t="inlineStr">
        <is>
          <t>R</t>
        </is>
      </c>
      <c r="F51" s="65" t="inlineStr">
        <is>
          <t>&amp;#82;</t>
        </is>
      </c>
      <c r="G51" s="66" t="n"/>
      <c r="I51">
        <f>RIGHT(C51,2)</f>
        <v/>
      </c>
    </row>
    <row r="52" ht="15.75" customHeight="1" thickBot="1">
      <c r="A52" s="64" t="n">
        <v>83</v>
      </c>
      <c r="B52" s="65" t="n">
        <v>123</v>
      </c>
      <c r="C52" s="65" t="inlineStr">
        <is>
          <t>53</t>
        </is>
      </c>
      <c r="D52" s="65" t="n">
        <v>1010011</v>
      </c>
      <c r="E52" s="65" t="inlineStr">
        <is>
          <t>S</t>
        </is>
      </c>
      <c r="F52" s="65" t="inlineStr">
        <is>
          <t>&amp;#83;</t>
        </is>
      </c>
      <c r="G52" s="66" t="n"/>
      <c r="I52">
        <f>RIGHT(C52,2)</f>
        <v/>
      </c>
    </row>
    <row r="53" ht="15.75" customHeight="1" thickBot="1">
      <c r="A53" s="64" t="n">
        <v>84</v>
      </c>
      <c r="B53" s="65" t="n">
        <v>124</v>
      </c>
      <c r="C53" s="65" t="inlineStr">
        <is>
          <t>54</t>
        </is>
      </c>
      <c r="D53" s="65" t="n">
        <v>1010100</v>
      </c>
      <c r="E53" s="65" t="inlineStr">
        <is>
          <t>T</t>
        </is>
      </c>
      <c r="F53" s="65" t="inlineStr">
        <is>
          <t>&amp;#84;</t>
        </is>
      </c>
      <c r="G53" s="66" t="n"/>
      <c r="I53">
        <f>RIGHT(C53,2)</f>
        <v/>
      </c>
    </row>
    <row r="54" ht="15.75" customHeight="1" thickBot="1">
      <c r="A54" s="64" t="n">
        <v>85</v>
      </c>
      <c r="B54" s="65" t="n">
        <v>125</v>
      </c>
      <c r="C54" s="65" t="inlineStr">
        <is>
          <t>55</t>
        </is>
      </c>
      <c r="D54" s="65" t="n">
        <v>1010101</v>
      </c>
      <c r="E54" s="65" t="inlineStr">
        <is>
          <t>U</t>
        </is>
      </c>
      <c r="F54" s="65" t="inlineStr">
        <is>
          <t>&amp;#85;</t>
        </is>
      </c>
      <c r="G54" s="66" t="n"/>
      <c r="I54">
        <f>RIGHT(C54,2)</f>
        <v/>
      </c>
    </row>
    <row r="55" ht="15.75" customHeight="1" thickBot="1">
      <c r="A55" s="64" t="n">
        <v>86</v>
      </c>
      <c r="B55" s="65" t="n">
        <v>126</v>
      </c>
      <c r="C55" s="65" t="inlineStr">
        <is>
          <t>56</t>
        </is>
      </c>
      <c r="D55" s="65" t="n">
        <v>1010110</v>
      </c>
      <c r="E55" s="65" t="inlineStr">
        <is>
          <t>V</t>
        </is>
      </c>
      <c r="F55" s="65" t="inlineStr">
        <is>
          <t>&amp;#86;</t>
        </is>
      </c>
      <c r="G55" s="66" t="n"/>
      <c r="I55">
        <f>RIGHT(C55,2)</f>
        <v/>
      </c>
    </row>
    <row r="56" ht="15.75" customHeight="1" thickBot="1">
      <c r="A56" s="64" t="n">
        <v>87</v>
      </c>
      <c r="B56" s="65" t="n">
        <v>127</v>
      </c>
      <c r="C56" s="65" t="inlineStr">
        <is>
          <t>57</t>
        </is>
      </c>
      <c r="D56" s="65" t="n">
        <v>1010111</v>
      </c>
      <c r="E56" s="65" t="inlineStr">
        <is>
          <t>W</t>
        </is>
      </c>
      <c r="F56" s="65" t="inlineStr">
        <is>
          <t>&amp;#87;</t>
        </is>
      </c>
      <c r="G56" s="66" t="n"/>
      <c r="I56">
        <f>RIGHT(C56,2)</f>
        <v/>
      </c>
    </row>
    <row r="57" ht="15.75" customHeight="1" thickBot="1">
      <c r="A57" s="64" t="n">
        <v>88</v>
      </c>
      <c r="B57" s="65" t="n">
        <v>130</v>
      </c>
      <c r="C57" s="65" t="inlineStr">
        <is>
          <t>58</t>
        </is>
      </c>
      <c r="D57" s="65" t="n">
        <v>1011000</v>
      </c>
      <c r="E57" s="65" t="inlineStr">
        <is>
          <t>X</t>
        </is>
      </c>
      <c r="F57" s="65" t="inlineStr">
        <is>
          <t>&amp;#88;</t>
        </is>
      </c>
      <c r="G57" s="66" t="n"/>
      <c r="I57">
        <f>RIGHT(C57,2)</f>
        <v/>
      </c>
    </row>
    <row r="58" ht="15.75" customHeight="1" thickBot="1">
      <c r="A58" s="64" t="n">
        <v>89</v>
      </c>
      <c r="B58" s="65" t="n">
        <v>131</v>
      </c>
      <c r="C58" s="65" t="inlineStr">
        <is>
          <t>59</t>
        </is>
      </c>
      <c r="D58" s="65" t="n">
        <v>1011001</v>
      </c>
      <c r="E58" s="65" t="inlineStr">
        <is>
          <t>Y</t>
        </is>
      </c>
      <c r="F58" s="65" t="inlineStr">
        <is>
          <t>&amp;#89;</t>
        </is>
      </c>
      <c r="G58" s="66" t="n"/>
      <c r="I58">
        <f>RIGHT(C58,2)</f>
        <v/>
      </c>
    </row>
    <row r="59" ht="15.75" customHeight="1" thickBot="1">
      <c r="A59" s="64" t="n">
        <v>90</v>
      </c>
      <c r="B59" s="65" t="n">
        <v>132</v>
      </c>
      <c r="C59" s="65" t="inlineStr">
        <is>
          <t>5A</t>
        </is>
      </c>
      <c r="D59" s="65" t="n">
        <v>1011010</v>
      </c>
      <c r="E59" s="65" t="inlineStr">
        <is>
          <t>Z</t>
        </is>
      </c>
      <c r="F59" s="65" t="inlineStr">
        <is>
          <t>&amp;#90;</t>
        </is>
      </c>
      <c r="G59" s="66" t="n"/>
      <c r="I59">
        <f>RIGHT(C59,2)</f>
        <v/>
      </c>
    </row>
    <row r="60" ht="15.75" customHeight="1" thickBot="1">
      <c r="A60" s="64" t="n">
        <v>91</v>
      </c>
      <c r="B60" s="65" t="n">
        <v>133</v>
      </c>
      <c r="C60" s="65" t="inlineStr">
        <is>
          <t>5B</t>
        </is>
      </c>
      <c r="D60" s="65" t="n">
        <v>1011011</v>
      </c>
      <c r="E60" s="65" t="inlineStr">
        <is>
          <t>[</t>
        </is>
      </c>
      <c r="F60" s="65" t="inlineStr">
        <is>
          <t>&amp;#91;</t>
        </is>
      </c>
      <c r="G60" s="66" t="n"/>
      <c r="I60">
        <f>RIGHT(C60,2)</f>
        <v/>
      </c>
    </row>
    <row r="61" ht="15.75" customHeight="1" thickBot="1">
      <c r="A61" s="64" t="n">
        <v>92</v>
      </c>
      <c r="B61" s="65" t="n">
        <v>134</v>
      </c>
      <c r="C61" s="65" t="inlineStr">
        <is>
          <t>5C</t>
        </is>
      </c>
      <c r="D61" s="65" t="n">
        <v>1011100</v>
      </c>
      <c r="E61" s="65" t="inlineStr">
        <is>
          <t>\</t>
        </is>
      </c>
      <c r="F61" s="65" t="inlineStr">
        <is>
          <t>&amp;#92;</t>
        </is>
      </c>
      <c r="G61" s="66" t="n"/>
      <c r="I61">
        <f>RIGHT(C61,2)</f>
        <v/>
      </c>
    </row>
    <row r="62" ht="15.75" customHeight="1" thickBot="1">
      <c r="A62" s="64" t="n">
        <v>93</v>
      </c>
      <c r="B62" s="65" t="n">
        <v>135</v>
      </c>
      <c r="C62" s="65" t="inlineStr">
        <is>
          <t>5D</t>
        </is>
      </c>
      <c r="D62" s="65" t="n">
        <v>1011101</v>
      </c>
      <c r="E62" s="65" t="inlineStr">
        <is>
          <t>]</t>
        </is>
      </c>
      <c r="F62" s="65" t="inlineStr">
        <is>
          <t>&amp;#93;</t>
        </is>
      </c>
      <c r="G62" s="66" t="n"/>
      <c r="I62">
        <f>RIGHT(C62,2)</f>
        <v/>
      </c>
    </row>
    <row r="63" ht="15.75" customHeight="1" thickBot="1">
      <c r="A63" s="64" t="n">
        <v>94</v>
      </c>
      <c r="B63" s="65" t="n">
        <v>136</v>
      </c>
      <c r="C63" s="65" t="inlineStr">
        <is>
          <t>5E</t>
        </is>
      </c>
      <c r="D63" s="65" t="n">
        <v>1011110</v>
      </c>
      <c r="E63" s="65" t="inlineStr">
        <is>
          <t>^</t>
        </is>
      </c>
      <c r="F63" s="65" t="inlineStr">
        <is>
          <t>&amp;#94;</t>
        </is>
      </c>
      <c r="G63" s="66" t="n"/>
      <c r="I63">
        <f>RIGHT(C63,2)</f>
        <v/>
      </c>
    </row>
    <row r="64" ht="15.75" customHeight="1" thickBot="1">
      <c r="A64" s="64" t="n">
        <v>95</v>
      </c>
      <c r="B64" s="65" t="n">
        <v>137</v>
      </c>
      <c r="C64" s="65" t="inlineStr">
        <is>
          <t>5F</t>
        </is>
      </c>
      <c r="D64" s="65" t="n">
        <v>1011111</v>
      </c>
      <c r="E64" s="65" t="inlineStr">
        <is>
          <t>_</t>
        </is>
      </c>
      <c r="F64" s="65" t="inlineStr">
        <is>
          <t>&amp;#95;</t>
        </is>
      </c>
      <c r="G64" s="66" t="n"/>
      <c r="I64">
        <f>RIGHT(C64,2)</f>
        <v/>
      </c>
    </row>
    <row r="65" ht="15.75" customHeight="1" thickBot="1">
      <c r="A65" s="64" t="n">
        <v>96</v>
      </c>
      <c r="B65" s="65" t="n">
        <v>140</v>
      </c>
      <c r="C65" s="65" t="inlineStr">
        <is>
          <t>60</t>
        </is>
      </c>
      <c r="D65" s="65" t="n">
        <v>1100000</v>
      </c>
      <c r="E65" s="65" t="inlineStr">
        <is>
          <t>`</t>
        </is>
      </c>
      <c r="F65" s="65" t="inlineStr">
        <is>
          <t>&amp;#96;</t>
        </is>
      </c>
      <c r="G65" s="66" t="n"/>
      <c r="I65">
        <f>RIGHT(C65,2)</f>
        <v/>
      </c>
    </row>
    <row r="66" ht="15.75" customHeight="1" thickBot="1">
      <c r="A66" s="64" t="n">
        <v>97</v>
      </c>
      <c r="B66" s="65" t="n">
        <v>141</v>
      </c>
      <c r="C66" s="65" t="inlineStr">
        <is>
          <t>61</t>
        </is>
      </c>
      <c r="D66" s="65" t="n">
        <v>1100001</v>
      </c>
      <c r="E66" s="65" t="inlineStr">
        <is>
          <t>a</t>
        </is>
      </c>
      <c r="F66" s="65" t="inlineStr">
        <is>
          <t>&amp;#97;</t>
        </is>
      </c>
      <c r="G66" s="66" t="n"/>
      <c r="I66">
        <f>RIGHT(C66,2)</f>
        <v/>
      </c>
    </row>
    <row r="67" ht="15.75" customHeight="1" thickBot="1">
      <c r="A67" s="64" t="n">
        <v>98</v>
      </c>
      <c r="B67" s="65" t="n">
        <v>142</v>
      </c>
      <c r="C67" s="65" t="inlineStr">
        <is>
          <t>62</t>
        </is>
      </c>
      <c r="D67" s="65" t="n">
        <v>1100010</v>
      </c>
      <c r="E67" s="65" t="inlineStr">
        <is>
          <t>b</t>
        </is>
      </c>
      <c r="F67" s="65" t="inlineStr">
        <is>
          <t>&amp;#98;</t>
        </is>
      </c>
      <c r="G67" s="66" t="n"/>
      <c r="I67">
        <f>RIGHT(C67,2)</f>
        <v/>
      </c>
    </row>
    <row r="68" ht="15.75" customHeight="1" thickBot="1">
      <c r="A68" s="64" t="n">
        <v>99</v>
      </c>
      <c r="B68" s="65" t="n">
        <v>143</v>
      </c>
      <c r="C68" s="65" t="inlineStr">
        <is>
          <t>63</t>
        </is>
      </c>
      <c r="D68" s="65" t="n">
        <v>1100011</v>
      </c>
      <c r="E68" s="65" t="inlineStr">
        <is>
          <t>c</t>
        </is>
      </c>
      <c r="F68" s="65" t="inlineStr">
        <is>
          <t>&amp;#99;</t>
        </is>
      </c>
      <c r="G68" s="66" t="n"/>
      <c r="I68">
        <f>RIGHT(C68,2)</f>
        <v/>
      </c>
    </row>
    <row r="69" ht="15.75" customHeight="1" thickBot="1">
      <c r="A69" s="64" t="n">
        <v>100</v>
      </c>
      <c r="B69" s="65" t="n">
        <v>144</v>
      </c>
      <c r="C69" s="65" t="inlineStr">
        <is>
          <t>64</t>
        </is>
      </c>
      <c r="D69" s="65" t="n">
        <v>1100100</v>
      </c>
      <c r="E69" s="65" t="inlineStr">
        <is>
          <t>d</t>
        </is>
      </c>
      <c r="F69" s="65" t="inlineStr">
        <is>
          <t>&amp;#100;</t>
        </is>
      </c>
      <c r="G69" s="66" t="n"/>
      <c r="I69">
        <f>RIGHT(C69,2)</f>
        <v/>
      </c>
    </row>
    <row r="70" ht="15.75" customHeight="1" thickBot="1">
      <c r="A70" s="64" t="n">
        <v>101</v>
      </c>
      <c r="B70" s="65" t="n">
        <v>145</v>
      </c>
      <c r="C70" s="65" t="inlineStr">
        <is>
          <t>65</t>
        </is>
      </c>
      <c r="D70" s="65" t="n">
        <v>1100101</v>
      </c>
      <c r="E70" s="65" t="inlineStr">
        <is>
          <t>e</t>
        </is>
      </c>
      <c r="F70" s="65" t="inlineStr">
        <is>
          <t>&amp;#101;</t>
        </is>
      </c>
      <c r="G70" s="66" t="n"/>
      <c r="I70">
        <f>RIGHT(C70,2)</f>
        <v/>
      </c>
    </row>
    <row r="71" ht="15.75" customHeight="1" thickBot="1">
      <c r="A71" s="64" t="n">
        <v>102</v>
      </c>
      <c r="B71" s="65" t="n">
        <v>146</v>
      </c>
      <c r="C71" s="65" t="inlineStr">
        <is>
          <t>66</t>
        </is>
      </c>
      <c r="D71" s="65" t="n">
        <v>1100110</v>
      </c>
      <c r="E71" s="65" t="inlineStr">
        <is>
          <t>f</t>
        </is>
      </c>
      <c r="F71" s="65" t="inlineStr">
        <is>
          <t>&amp;#102;</t>
        </is>
      </c>
      <c r="G71" s="66" t="n"/>
      <c r="I71">
        <f>RIGHT(C71,2)</f>
        <v/>
      </c>
    </row>
    <row r="72" ht="15.75" customHeight="1" thickBot="1">
      <c r="A72" s="64" t="n">
        <v>103</v>
      </c>
      <c r="B72" s="65" t="n">
        <v>147</v>
      </c>
      <c r="C72" s="65" t="inlineStr">
        <is>
          <t>67</t>
        </is>
      </c>
      <c r="D72" s="65" t="n">
        <v>1100111</v>
      </c>
      <c r="E72" s="65" t="inlineStr">
        <is>
          <t>g</t>
        </is>
      </c>
      <c r="F72" s="65" t="inlineStr">
        <is>
          <t>&amp;#103;</t>
        </is>
      </c>
      <c r="G72" s="66" t="n"/>
      <c r="I72">
        <f>RIGHT(C72,2)</f>
        <v/>
      </c>
    </row>
    <row r="73" ht="15.75" customHeight="1" thickBot="1">
      <c r="A73" s="64" t="n">
        <v>104</v>
      </c>
      <c r="B73" s="65" t="n">
        <v>150</v>
      </c>
      <c r="C73" s="65" t="inlineStr">
        <is>
          <t>68</t>
        </is>
      </c>
      <c r="D73" s="65" t="n">
        <v>1101000</v>
      </c>
      <c r="E73" s="65" t="inlineStr">
        <is>
          <t>h</t>
        </is>
      </c>
      <c r="F73" s="65" t="inlineStr">
        <is>
          <t>&amp;#104;</t>
        </is>
      </c>
      <c r="G73" s="66" t="n"/>
      <c r="I73">
        <f>RIGHT(C73,2)</f>
        <v/>
      </c>
    </row>
    <row r="74" ht="15.75" customHeight="1" thickBot="1">
      <c r="A74" s="64" t="n">
        <v>105</v>
      </c>
      <c r="B74" s="65" t="n">
        <v>151</v>
      </c>
      <c r="C74" s="65" t="inlineStr">
        <is>
          <t>69</t>
        </is>
      </c>
      <c r="D74" s="65" t="n">
        <v>1101001</v>
      </c>
      <c r="E74" s="65" t="inlineStr">
        <is>
          <t>i</t>
        </is>
      </c>
      <c r="F74" s="65" t="inlineStr">
        <is>
          <t>&amp;#105;</t>
        </is>
      </c>
      <c r="G74" s="66" t="n"/>
      <c r="I74">
        <f>RIGHT(C74,2)</f>
        <v/>
      </c>
    </row>
    <row r="75" ht="15.75" customHeight="1" thickBot="1">
      <c r="A75" s="64" t="n">
        <v>106</v>
      </c>
      <c r="B75" s="65" t="n">
        <v>152</v>
      </c>
      <c r="C75" s="65" t="inlineStr">
        <is>
          <t>6A</t>
        </is>
      </c>
      <c r="D75" s="65" t="n">
        <v>1101010</v>
      </c>
      <c r="E75" s="65" t="inlineStr">
        <is>
          <t>j</t>
        </is>
      </c>
      <c r="F75" s="65" t="inlineStr">
        <is>
          <t>&amp;#106;</t>
        </is>
      </c>
      <c r="G75" s="66" t="n"/>
      <c r="I75">
        <f>RIGHT(C75,2)</f>
        <v/>
      </c>
    </row>
    <row r="76" ht="15.75" customHeight="1" thickBot="1">
      <c r="A76" s="64" t="n">
        <v>107</v>
      </c>
      <c r="B76" s="65" t="n">
        <v>153</v>
      </c>
      <c r="C76" s="65" t="inlineStr">
        <is>
          <t>6B</t>
        </is>
      </c>
      <c r="D76" s="65" t="n">
        <v>1101011</v>
      </c>
      <c r="E76" s="65" t="inlineStr">
        <is>
          <t>k</t>
        </is>
      </c>
      <c r="F76" s="65" t="inlineStr">
        <is>
          <t>&amp;#107;</t>
        </is>
      </c>
      <c r="G76" s="66" t="n"/>
      <c r="I76">
        <f>RIGHT(C76,2)</f>
        <v/>
      </c>
    </row>
    <row r="77" ht="15.75" customHeight="1" thickBot="1">
      <c r="A77" s="64" t="n">
        <v>108</v>
      </c>
      <c r="B77" s="65" t="n">
        <v>154</v>
      </c>
      <c r="C77" s="65" t="inlineStr">
        <is>
          <t>6C</t>
        </is>
      </c>
      <c r="D77" s="65" t="n">
        <v>1101100</v>
      </c>
      <c r="E77" s="65" t="inlineStr">
        <is>
          <t>l</t>
        </is>
      </c>
      <c r="F77" s="65" t="inlineStr">
        <is>
          <t>&amp;#108;</t>
        </is>
      </c>
      <c r="G77" s="66" t="n"/>
      <c r="I77">
        <f>RIGHT(C77,2)</f>
        <v/>
      </c>
    </row>
    <row r="78" ht="15.75" customHeight="1" thickBot="1">
      <c r="A78" s="64" t="n">
        <v>109</v>
      </c>
      <c r="B78" s="65" t="n">
        <v>155</v>
      </c>
      <c r="C78" s="65" t="inlineStr">
        <is>
          <t>6D</t>
        </is>
      </c>
      <c r="D78" s="65" t="n">
        <v>1101101</v>
      </c>
      <c r="E78" s="65" t="inlineStr">
        <is>
          <t>m</t>
        </is>
      </c>
      <c r="F78" s="65" t="inlineStr">
        <is>
          <t>&amp;#109;</t>
        </is>
      </c>
      <c r="G78" s="66" t="n"/>
      <c r="I78">
        <f>RIGHT(C78,2)</f>
        <v/>
      </c>
    </row>
    <row r="79" ht="15.75" customHeight="1" thickBot="1">
      <c r="A79" s="64" t="n">
        <v>110</v>
      </c>
      <c r="B79" s="65" t="n">
        <v>156</v>
      </c>
      <c r="C79" s="65" t="inlineStr">
        <is>
          <t>6E</t>
        </is>
      </c>
      <c r="D79" s="65" t="n">
        <v>1101110</v>
      </c>
      <c r="E79" s="65" t="inlineStr">
        <is>
          <t>n</t>
        </is>
      </c>
      <c r="F79" s="65" t="inlineStr">
        <is>
          <t>&amp;#110;</t>
        </is>
      </c>
      <c r="G79" s="66" t="n"/>
      <c r="I79">
        <f>RIGHT(C79,2)</f>
        <v/>
      </c>
    </row>
    <row r="80" ht="15.75" customHeight="1" thickBot="1">
      <c r="A80" s="64" t="n">
        <v>111</v>
      </c>
      <c r="B80" s="65" t="n">
        <v>157</v>
      </c>
      <c r="C80" s="65" t="inlineStr">
        <is>
          <t>6F</t>
        </is>
      </c>
      <c r="D80" s="65" t="n">
        <v>1101111</v>
      </c>
      <c r="E80" s="65" t="inlineStr">
        <is>
          <t>o</t>
        </is>
      </c>
      <c r="F80" s="65" t="inlineStr">
        <is>
          <t>&amp;#111;</t>
        </is>
      </c>
      <c r="G80" s="66" t="n"/>
      <c r="I80">
        <f>RIGHT(C80,2)</f>
        <v/>
      </c>
    </row>
    <row r="81" ht="15.75" customHeight="1" thickBot="1">
      <c r="A81" s="64" t="n">
        <v>112</v>
      </c>
      <c r="B81" s="65" t="n">
        <v>160</v>
      </c>
      <c r="C81" s="65" t="inlineStr">
        <is>
          <t>70</t>
        </is>
      </c>
      <c r="D81" s="65" t="n">
        <v>1110000</v>
      </c>
      <c r="E81" s="65" t="inlineStr">
        <is>
          <t>p</t>
        </is>
      </c>
      <c r="F81" s="65" t="inlineStr">
        <is>
          <t>&amp;#112;</t>
        </is>
      </c>
      <c r="G81" s="66" t="n"/>
      <c r="I81">
        <f>RIGHT(C81,2)</f>
        <v/>
      </c>
    </row>
    <row r="82" ht="15.75" customHeight="1" thickBot="1">
      <c r="A82" s="64" t="n">
        <v>113</v>
      </c>
      <c r="B82" s="65" t="n">
        <v>161</v>
      </c>
      <c r="C82" s="65" t="inlineStr">
        <is>
          <t>71</t>
        </is>
      </c>
      <c r="D82" s="65" t="n">
        <v>1110001</v>
      </c>
      <c r="E82" s="65" t="inlineStr">
        <is>
          <t>q</t>
        </is>
      </c>
      <c r="F82" s="65" t="inlineStr">
        <is>
          <t>&amp;#113;</t>
        </is>
      </c>
      <c r="G82" s="66" t="n"/>
      <c r="I82">
        <f>RIGHT(C82,2)</f>
        <v/>
      </c>
    </row>
    <row r="83" ht="15.75" customHeight="1" thickBot="1">
      <c r="A83" s="64" t="n">
        <v>114</v>
      </c>
      <c r="B83" s="65" t="n">
        <v>162</v>
      </c>
      <c r="C83" s="65" t="inlineStr">
        <is>
          <t>72</t>
        </is>
      </c>
      <c r="D83" s="65" t="n">
        <v>1110010</v>
      </c>
      <c r="E83" s="65" t="inlineStr">
        <is>
          <t>r</t>
        </is>
      </c>
      <c r="F83" s="65" t="inlineStr">
        <is>
          <t>&amp;#114;</t>
        </is>
      </c>
      <c r="G83" s="66" t="n"/>
      <c r="I83">
        <f>RIGHT(C83,2)</f>
        <v/>
      </c>
    </row>
    <row r="84" ht="15.75" customHeight="1" thickBot="1">
      <c r="A84" s="64" t="n">
        <v>115</v>
      </c>
      <c r="B84" s="65" t="n">
        <v>163</v>
      </c>
      <c r="C84" s="65" t="inlineStr">
        <is>
          <t>73</t>
        </is>
      </c>
      <c r="D84" s="65" t="n">
        <v>1110011</v>
      </c>
      <c r="E84" s="65" t="inlineStr">
        <is>
          <t>s</t>
        </is>
      </c>
      <c r="F84" s="65" t="inlineStr">
        <is>
          <t>&amp;#115;</t>
        </is>
      </c>
      <c r="G84" s="66" t="n"/>
      <c r="I84">
        <f>RIGHT(C84,2)</f>
        <v/>
      </c>
    </row>
    <row r="85" ht="15.75" customHeight="1" thickBot="1">
      <c r="A85" s="64" t="n">
        <v>116</v>
      </c>
      <c r="B85" s="65" t="n">
        <v>164</v>
      </c>
      <c r="C85" s="65" t="inlineStr">
        <is>
          <t>74</t>
        </is>
      </c>
      <c r="D85" s="65" t="n">
        <v>1110100</v>
      </c>
      <c r="E85" s="65" t="inlineStr">
        <is>
          <t>t</t>
        </is>
      </c>
      <c r="F85" s="65" t="inlineStr">
        <is>
          <t>&amp;#116;</t>
        </is>
      </c>
      <c r="G85" s="66" t="n"/>
      <c r="I85">
        <f>RIGHT(C85,2)</f>
        <v/>
      </c>
    </row>
    <row r="86" ht="15.75" customHeight="1" thickBot="1">
      <c r="A86" s="64" t="n">
        <v>117</v>
      </c>
      <c r="B86" s="65" t="n">
        <v>165</v>
      </c>
      <c r="C86" s="65" t="inlineStr">
        <is>
          <t>75</t>
        </is>
      </c>
      <c r="D86" s="65" t="n">
        <v>1110101</v>
      </c>
      <c r="E86" s="65" t="inlineStr">
        <is>
          <t>u</t>
        </is>
      </c>
      <c r="F86" s="65" t="inlineStr">
        <is>
          <t>&amp;#117;</t>
        </is>
      </c>
      <c r="G86" s="66" t="n"/>
      <c r="I86">
        <f>RIGHT(C86,2)</f>
        <v/>
      </c>
    </row>
    <row r="87" ht="15.75" customHeight="1" thickBot="1">
      <c r="A87" s="64" t="n">
        <v>118</v>
      </c>
      <c r="B87" s="65" t="n">
        <v>166</v>
      </c>
      <c r="C87" s="65" t="inlineStr">
        <is>
          <t>76</t>
        </is>
      </c>
      <c r="D87" s="65" t="n">
        <v>1110110</v>
      </c>
      <c r="E87" s="65" t="inlineStr">
        <is>
          <t>v</t>
        </is>
      </c>
      <c r="F87" s="65" t="inlineStr">
        <is>
          <t>&amp;#118;</t>
        </is>
      </c>
      <c r="G87" s="66" t="n"/>
      <c r="I87">
        <f>RIGHT(C87,2)</f>
        <v/>
      </c>
    </row>
    <row r="88" ht="15.75" customHeight="1" thickBot="1">
      <c r="A88" s="64" t="n">
        <v>119</v>
      </c>
      <c r="B88" s="65" t="n">
        <v>167</v>
      </c>
      <c r="C88" s="65" t="inlineStr">
        <is>
          <t>77</t>
        </is>
      </c>
      <c r="D88" s="65" t="n">
        <v>1110111</v>
      </c>
      <c r="E88" s="65" t="inlineStr">
        <is>
          <t>w</t>
        </is>
      </c>
      <c r="F88" s="65" t="inlineStr">
        <is>
          <t>&amp;#119;</t>
        </is>
      </c>
      <c r="G88" s="66" t="n"/>
      <c r="I88">
        <f>RIGHT(C88,2)</f>
        <v/>
      </c>
    </row>
    <row r="89" ht="15.75" customHeight="1" thickBot="1">
      <c r="A89" s="64" t="n">
        <v>120</v>
      </c>
      <c r="B89" s="65" t="n">
        <v>170</v>
      </c>
      <c r="C89" s="65" t="inlineStr">
        <is>
          <t>78</t>
        </is>
      </c>
      <c r="D89" s="65" t="n">
        <v>1111000</v>
      </c>
      <c r="E89" s="65" t="inlineStr">
        <is>
          <t>x</t>
        </is>
      </c>
      <c r="F89" s="65" t="inlineStr">
        <is>
          <t>&amp;#120;</t>
        </is>
      </c>
      <c r="G89" s="66" t="n"/>
      <c r="I89">
        <f>RIGHT(C89,2)</f>
        <v/>
      </c>
    </row>
    <row r="90" ht="15.75" customHeight="1" thickBot="1">
      <c r="A90" s="64" t="n">
        <v>121</v>
      </c>
      <c r="B90" s="65" t="n">
        <v>171</v>
      </c>
      <c r="C90" s="65" t="inlineStr">
        <is>
          <t>79</t>
        </is>
      </c>
      <c r="D90" s="65" t="n">
        <v>1111001</v>
      </c>
      <c r="E90" s="65" t="inlineStr">
        <is>
          <t>y</t>
        </is>
      </c>
      <c r="F90" s="65" t="inlineStr">
        <is>
          <t>&amp;#121;</t>
        </is>
      </c>
      <c r="G90" s="66" t="n"/>
      <c r="I90">
        <f>RIGHT(C90,2)</f>
        <v/>
      </c>
    </row>
    <row r="91" ht="15.75" customHeight="1" thickBot="1">
      <c r="A91" s="64" t="n">
        <v>122</v>
      </c>
      <c r="B91" s="65" t="n">
        <v>172</v>
      </c>
      <c r="C91" s="65" t="inlineStr">
        <is>
          <t>7A</t>
        </is>
      </c>
      <c r="D91" s="65" t="n">
        <v>1111010</v>
      </c>
      <c r="E91" s="65" t="inlineStr">
        <is>
          <t>z</t>
        </is>
      </c>
      <c r="F91" s="65" t="inlineStr">
        <is>
          <t>&amp;#122;</t>
        </is>
      </c>
      <c r="G91" s="66" t="n"/>
      <c r="I91">
        <f>RIGHT(C91,2)</f>
        <v/>
      </c>
    </row>
    <row r="92" ht="15.75" customHeight="1" thickBot="1">
      <c r="A92" s="64" t="n">
        <v>123</v>
      </c>
      <c r="B92" s="65" t="n">
        <v>173</v>
      </c>
      <c r="C92" s="65" t="inlineStr">
        <is>
          <t>7B</t>
        </is>
      </c>
      <c r="D92" s="65" t="n">
        <v>1111011</v>
      </c>
      <c r="E92" s="65" t="inlineStr">
        <is>
          <t>{</t>
        </is>
      </c>
      <c r="F92" s="65" t="inlineStr">
        <is>
          <t>&amp;#123;</t>
        </is>
      </c>
      <c r="G92" s="66" t="n"/>
      <c r="I92">
        <f>RIGHT(C92,2)</f>
        <v/>
      </c>
    </row>
    <row r="93" ht="15.75" customHeight="1" thickBot="1">
      <c r="A93" s="64" t="n">
        <v>124</v>
      </c>
      <c r="B93" s="65" t="n">
        <v>174</v>
      </c>
      <c r="C93" s="65" t="inlineStr">
        <is>
          <t>7C</t>
        </is>
      </c>
      <c r="D93" s="65" t="n">
        <v>1111100</v>
      </c>
      <c r="E93" s="65" t="inlineStr">
        <is>
          <t>|</t>
        </is>
      </c>
      <c r="F93" s="65" t="inlineStr">
        <is>
          <t>&amp;#124;</t>
        </is>
      </c>
      <c r="G93" s="66" t="n"/>
      <c r="I93">
        <f>RIGHT(C93,2)</f>
        <v/>
      </c>
    </row>
    <row r="94" ht="15.75" customHeight="1" thickBot="1">
      <c r="A94" s="64" t="n">
        <v>125</v>
      </c>
      <c r="B94" s="65" t="n">
        <v>175</v>
      </c>
      <c r="C94" s="65" t="inlineStr">
        <is>
          <t>7D</t>
        </is>
      </c>
      <c r="D94" s="65" t="n">
        <v>1111101</v>
      </c>
      <c r="E94" s="65" t="inlineStr">
        <is>
          <t>}</t>
        </is>
      </c>
      <c r="F94" s="65" t="inlineStr">
        <is>
          <t>&amp;#125;</t>
        </is>
      </c>
      <c r="G94" s="66" t="n"/>
      <c r="I94">
        <f>RIGHT(C94,2)</f>
        <v/>
      </c>
    </row>
    <row r="95" ht="15.75" customHeight="1" thickBot="1">
      <c r="A95" s="71" t="n">
        <v>126</v>
      </c>
      <c r="B95" s="72" t="n">
        <v>176</v>
      </c>
      <c r="C95" s="72" t="inlineStr">
        <is>
          <t>7E</t>
        </is>
      </c>
      <c r="D95" s="72" t="n">
        <v>1111110</v>
      </c>
      <c r="E95" s="72" t="inlineStr">
        <is>
          <t>~</t>
        </is>
      </c>
      <c r="F95" s="72" t="inlineStr">
        <is>
          <t>&amp;#126;</t>
        </is>
      </c>
      <c r="G95" s="73" t="n"/>
      <c r="I95">
        <f>RIGHT(C95,2)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2 1</dc:creator>
  <dcterms:created xsi:type="dcterms:W3CDTF">2025-02-17T18:09:00Z</dcterms:created>
  <dcterms:modified xsi:type="dcterms:W3CDTF">2026-04-03T08:17:14Z</dcterms:modified>
  <cp:lastModifiedBy>Михаил Соловьев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BFFF3C11EE2C413399BF5DA88CE16727_12</vt:lpwstr>
  </property>
  <property name="KSOProductBuildVer" fmtid="{D5CDD505-2E9C-101B-9397-08002B2CF9AE}" pid="3">
    <vt:lpwstr>1049-12.2.0.19805</vt:lpwstr>
  </property>
</Properties>
</file>